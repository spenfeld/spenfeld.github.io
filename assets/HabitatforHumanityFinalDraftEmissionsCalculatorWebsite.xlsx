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feldmann/Documents/Habitat for Humanity Data Analyst/"/>
    </mc:Choice>
  </mc:AlternateContent>
  <xr:revisionPtr revIDLastSave="0" documentId="13_ncr:1_{BB896F8A-6EE3-4940-8223-10D9D6A62729}" xr6:coauthVersionLast="47" xr6:coauthVersionMax="47" xr10:uidLastSave="{00000000-0000-0000-0000-000000000000}"/>
  <bookViews>
    <workbookView xWindow="12560" yWindow="660" windowWidth="22000" windowHeight="20420" firstSheet="3" activeTab="11" xr2:uid="{7D7472ED-8B91-B249-8D0F-E85A666611D2}"/>
  </bookViews>
  <sheets>
    <sheet name="Emissions Calculator" sheetId="2" state="hidden" r:id="rId1"/>
    <sheet name="EEAOP" sheetId="8" r:id="rId2"/>
    <sheet name="MEA SEE" sheetId="9" r:id="rId3"/>
    <sheet name="Audit Calculator" sheetId="4" r:id="rId4"/>
    <sheet name="Append" sheetId="16" r:id="rId5"/>
    <sheet name="County Dashboard" sheetId="18" r:id="rId6"/>
    <sheet name="Audit_Reports" sheetId="15" state="hidden" r:id="rId7"/>
    <sheet name="MEA_SEE" sheetId="14" state="hidden" r:id="rId8"/>
    <sheet name="EEAOP1" sheetId="13" state="hidden" r:id="rId9"/>
    <sheet name="Program Dashboard" sheetId="19" r:id="rId10"/>
    <sheet name="Project Dashboard" sheetId="20" r:id="rId11"/>
    <sheet name="Client Dashboard" sheetId="21" r:id="rId12"/>
    <sheet name="Visualization Notes" sheetId="11" r:id="rId13"/>
    <sheet name="References" sheetId="5" r:id="rId14"/>
  </sheets>
  <definedNames>
    <definedName name="CH4_GWP_Value">References!$C$20</definedName>
    <definedName name="CO2_GWP_Value">References!$C$19</definedName>
    <definedName name="Diesel_CO2e_Factor">References!$F$7</definedName>
    <definedName name="DieselUnitCost">References!$C$35</definedName>
    <definedName name="Electricity_CO2e_Factor">References!$F$3</definedName>
    <definedName name="ElectricityUnitCost">References!$C$31</definedName>
    <definedName name="EnergyPerFt">References!$E$27</definedName>
    <definedName name="EnergyPerkW">References!$E$26</definedName>
    <definedName name="ExternalData_1" localSheetId="4" hidden="1">Append!$A$1:$S$6</definedName>
    <definedName name="ExternalData_1" localSheetId="8" hidden="1">EEAOP1!$A$1:$N$20</definedName>
    <definedName name="ExternalData_2" localSheetId="7" hidden="1">MEA_SEE!$A$1:$O$20</definedName>
    <definedName name="ExternalData_3" localSheetId="6" hidden="1">Audit_Reports!$B$2:$M$21</definedName>
    <definedName name="g_to_MT">References!$E$12</definedName>
    <definedName name="kg_to_MT">References!$E$11</definedName>
    <definedName name="lb_to_MT">References!$E$13</definedName>
    <definedName name="lbs_to_MT">References!$E$13</definedName>
    <definedName name="MWh_to_kWh">References!$E$14</definedName>
    <definedName name="N2O_GWP_Value">References!$C$21</definedName>
    <definedName name="Natural_Gas_CO2e_Factor">References!$F$6</definedName>
    <definedName name="Natural_GasUnitCost">References!$C$34</definedName>
    <definedName name="Oil_CO2e_Factor">References!$F$5</definedName>
    <definedName name="OilUnitCost">References!$C$33</definedName>
    <definedName name="Propane_CO2e_Factor">References!$F$4</definedName>
    <definedName name="PropaneUnitCost">References!$C$32</definedName>
    <definedName name="scf_to_therm">References!$E$15</definedName>
    <definedName name="SizePerFt">References!$E$25</definedName>
  </definedNames>
  <calcPr calcId="191029"/>
  <pivotCaches>
    <pivotCache cacheId="2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I4" i="8"/>
  <c r="I5" i="8"/>
  <c r="I6" i="8"/>
  <c r="I7" i="8"/>
  <c r="I8" i="8"/>
  <c r="I9" i="8"/>
  <c r="O9" i="8" s="1" a="1"/>
  <c r="O9" i="8" s="1"/>
  <c r="I10" i="8"/>
  <c r="O10" i="8" s="1" a="1"/>
  <c r="O10" i="8" s="1"/>
  <c r="I11" i="8"/>
  <c r="O11" i="8" s="1" a="1"/>
  <c r="O11" i="8" s="1"/>
  <c r="I12" i="8"/>
  <c r="O12" i="8" s="1" a="1"/>
  <c r="O12" i="8" s="1"/>
  <c r="I13" i="8"/>
  <c r="O13" i="8" s="1" a="1"/>
  <c r="O13" i="8" s="1"/>
  <c r="I14" i="8"/>
  <c r="I15" i="8"/>
  <c r="I16" i="8"/>
  <c r="I17" i="8"/>
  <c r="I18" i="8"/>
  <c r="I19" i="8"/>
  <c r="I20" i="8"/>
  <c r="I21" i="8"/>
  <c r="O21" i="8" s="1" a="1"/>
  <c r="O21" i="8" s="1"/>
  <c r="I22" i="8"/>
  <c r="O22" i="8" s="1" a="1"/>
  <c r="O22" i="8" s="1"/>
  <c r="I15" i="4" a="1"/>
  <c r="I15" i="4" s="1"/>
  <c r="I16" i="4" a="1"/>
  <c r="I16" i="4" s="1"/>
  <c r="I17" i="4" a="1"/>
  <c r="I17" i="4" s="1"/>
  <c r="I18" i="4" a="1"/>
  <c r="I18" i="4" s="1"/>
  <c r="I19" i="4" a="1"/>
  <c r="I19" i="4" s="1"/>
  <c r="I20" i="4" a="1"/>
  <c r="I20" i="4" s="1"/>
  <c r="I21" i="4" a="1"/>
  <c r="I21" i="4" s="1"/>
  <c r="I22" i="4" a="1"/>
  <c r="I22" i="4" s="1"/>
  <c r="I6" i="9"/>
  <c r="J6" i="9" s="1"/>
  <c r="P6" i="9" s="1"/>
  <c r="I7" i="9"/>
  <c r="J7" i="9" s="1"/>
  <c r="N7" i="9" s="1"/>
  <c r="O7" i="9" s="1"/>
  <c r="I8" i="9"/>
  <c r="J8" i="9" s="1"/>
  <c r="L8" i="9" s="1"/>
  <c r="M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L15" i="9" s="1"/>
  <c r="M15" i="9" s="1"/>
  <c r="I16" i="9"/>
  <c r="I17" i="9"/>
  <c r="J17" i="9" s="1"/>
  <c r="L17" i="9" s="1"/>
  <c r="M17" i="9" s="1"/>
  <c r="I18" i="9"/>
  <c r="J18" i="9" s="1"/>
  <c r="N18" i="9" s="1"/>
  <c r="O18" i="9" s="1"/>
  <c r="I19" i="9"/>
  <c r="J19" i="9" s="1"/>
  <c r="N19" i="9" s="1"/>
  <c r="O19" i="9" s="1"/>
  <c r="I20" i="9"/>
  <c r="J20" i="9" s="1"/>
  <c r="I21" i="9"/>
  <c r="J21" i="9" s="1"/>
  <c r="I22" i="9"/>
  <c r="J22" i="9" s="1"/>
  <c r="J16" i="9"/>
  <c r="P16" i="9" s="1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O5" i="8" a="1"/>
  <c r="O5" i="8" s="1"/>
  <c r="O6" i="8" a="1"/>
  <c r="O6" i="8" s="1"/>
  <c r="O7" i="8" a="1"/>
  <c r="O7" i="8" s="1"/>
  <c r="O8" i="8" a="1"/>
  <c r="O8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M4" i="4" a="1"/>
  <c r="M4" i="4" s="1"/>
  <c r="M5" i="4" a="1"/>
  <c r="M5" i="4" s="1"/>
  <c r="M6" i="4" a="1"/>
  <c r="M6" i="4" s="1"/>
  <c r="M7" i="4" a="1"/>
  <c r="M7" i="4" s="1"/>
  <c r="M8" i="4" a="1"/>
  <c r="M8" i="4" s="1"/>
  <c r="M9" i="4" a="1"/>
  <c r="M9" i="4" s="1"/>
  <c r="M10" i="4" a="1"/>
  <c r="M10" i="4" s="1"/>
  <c r="M11" i="4" a="1"/>
  <c r="M11" i="4" s="1"/>
  <c r="M12" i="4" a="1"/>
  <c r="M12" i="4" s="1"/>
  <c r="M13" i="4" a="1"/>
  <c r="M13" i="4" s="1"/>
  <c r="M14" i="4" a="1"/>
  <c r="M14" i="4" s="1"/>
  <c r="M15" i="4" a="1"/>
  <c r="M15" i="4" s="1"/>
  <c r="M16" i="4" a="1"/>
  <c r="M16" i="4" s="1"/>
  <c r="M17" i="4" a="1"/>
  <c r="M17" i="4" s="1"/>
  <c r="M18" i="4" a="1"/>
  <c r="M18" i="4" s="1"/>
  <c r="M19" i="4" a="1"/>
  <c r="M19" i="4" s="1"/>
  <c r="M20" i="4" a="1"/>
  <c r="M20" i="4" s="1"/>
  <c r="M21" i="4" a="1"/>
  <c r="M21" i="4" s="1"/>
  <c r="M22" i="4" a="1"/>
  <c r="M22" i="4" s="1"/>
  <c r="J4" i="8" a="1"/>
  <c r="J4" i="8" s="1"/>
  <c r="J5" i="8" a="1"/>
  <c r="J5" i="8" s="1"/>
  <c r="J6" i="8" a="1"/>
  <c r="J6" i="8" s="1"/>
  <c r="J7" i="8" a="1"/>
  <c r="J7" i="8" s="1"/>
  <c r="J8" i="8" a="1"/>
  <c r="J8" i="8" s="1"/>
  <c r="J9" i="8" a="1"/>
  <c r="J9" i="8" s="1"/>
  <c r="J10" i="8" a="1"/>
  <c r="J10" i="8" s="1"/>
  <c r="J11" i="8" a="1"/>
  <c r="J11" i="8" s="1"/>
  <c r="J12" i="8" a="1"/>
  <c r="J12" i="8" s="1"/>
  <c r="J13" i="8" a="1"/>
  <c r="J13" i="8" s="1"/>
  <c r="J14" i="8" a="1"/>
  <c r="J14" i="8" s="1"/>
  <c r="J15" i="8" a="1"/>
  <c r="J15" i="8" s="1"/>
  <c r="J16" i="8" a="1"/>
  <c r="J16" i="8" s="1"/>
  <c r="J17" i="8" a="1"/>
  <c r="J17" i="8" s="1"/>
  <c r="J18" i="8" a="1"/>
  <c r="J18" i="8" s="1"/>
  <c r="J19" i="8" a="1"/>
  <c r="J19" i="8" s="1"/>
  <c r="J20" i="8" a="1"/>
  <c r="J20" i="8"/>
  <c r="J21" i="8" a="1"/>
  <c r="J21" i="8" s="1"/>
  <c r="J22" i="8" a="1"/>
  <c r="J22" i="8" s="1"/>
  <c r="E4" i="9"/>
  <c r="F4" i="9" s="1"/>
  <c r="E5" i="9"/>
  <c r="F5" i="9" s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O4" i="8" a="1"/>
  <c r="O4" i="8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L22" i="8" a="1"/>
  <c r="L22" i="8" s="1"/>
  <c r="K22" i="8" a="1"/>
  <c r="K22" i="8" s="1"/>
  <c r="L21" i="8" a="1"/>
  <c r="L21" i="8" s="1"/>
  <c r="K21" i="8" a="1"/>
  <c r="K21" i="8" s="1"/>
  <c r="L20" i="8" a="1"/>
  <c r="L20" i="8" s="1"/>
  <c r="K20" i="8" a="1"/>
  <c r="K20" i="8" s="1"/>
  <c r="N20" i="8" s="1"/>
  <c r="L19" i="8" a="1"/>
  <c r="L19" i="8" s="1"/>
  <c r="K19" i="8" a="1"/>
  <c r="K19" i="8" s="1"/>
  <c r="M19" i="8" s="1"/>
  <c r="L18" i="8" a="1"/>
  <c r="L18" i="8" s="1"/>
  <c r="K18" i="8" a="1"/>
  <c r="K18" i="8" s="1"/>
  <c r="L17" i="8" a="1"/>
  <c r="L17" i="8" s="1"/>
  <c r="K17" i="8" a="1"/>
  <c r="K17" i="8" s="1"/>
  <c r="L16" i="8" a="1"/>
  <c r="L16" i="8" s="1"/>
  <c r="K16" i="8" a="1"/>
  <c r="K16" i="8" s="1"/>
  <c r="M16" i="8" s="1"/>
  <c r="L15" i="8" a="1"/>
  <c r="L15" i="8" s="1"/>
  <c r="K15" i="8" a="1"/>
  <c r="K15" i="8" s="1"/>
  <c r="M15" i="8" s="1"/>
  <c r="L14" i="8" a="1"/>
  <c r="L14" i="8" s="1"/>
  <c r="K14" i="8" a="1"/>
  <c r="K14" i="8" s="1"/>
  <c r="M14" i="8" s="1"/>
  <c r="L13" i="8" a="1"/>
  <c r="L13" i="8" s="1"/>
  <c r="K13" i="8" a="1"/>
  <c r="K13" i="8" s="1"/>
  <c r="L12" i="8" a="1"/>
  <c r="L12" i="8" s="1"/>
  <c r="K12" i="8" a="1"/>
  <c r="K12" i="8" s="1"/>
  <c r="L11" i="8" a="1"/>
  <c r="L11" i="8" s="1"/>
  <c r="K11" i="8" a="1"/>
  <c r="K11" i="8" s="1"/>
  <c r="L10" i="8" a="1"/>
  <c r="L10" i="8" s="1"/>
  <c r="K10" i="8" a="1"/>
  <c r="K10" i="8" s="1"/>
  <c r="L9" i="8" a="1"/>
  <c r="L9" i="8" s="1"/>
  <c r="K9" i="8" a="1"/>
  <c r="K9" i="8" s="1"/>
  <c r="L8" i="8" a="1"/>
  <c r="L8" i="8" s="1"/>
  <c r="K8" i="8" a="1"/>
  <c r="K8" i="8" s="1"/>
  <c r="L7" i="8" a="1"/>
  <c r="L7" i="8" s="1"/>
  <c r="K7" i="8" a="1"/>
  <c r="K7" i="8" s="1"/>
  <c r="M7" i="8" s="1"/>
  <c r="L6" i="8" a="1"/>
  <c r="L6" i="8" s="1"/>
  <c r="K6" i="8" a="1"/>
  <c r="K6" i="8" s="1"/>
  <c r="L5" i="8" a="1"/>
  <c r="L5" i="8" s="1"/>
  <c r="L4" i="8" a="1"/>
  <c r="L4" i="8" s="1"/>
  <c r="E27" i="5"/>
  <c r="I4" i="9" s="1"/>
  <c r="J4" i="9" s="1"/>
  <c r="P4" i="9" s="1"/>
  <c r="N20" i="9" l="1"/>
  <c r="O20" i="9" s="1"/>
  <c r="P20" i="9"/>
  <c r="N16" i="9"/>
  <c r="O16" i="9" s="1"/>
  <c r="I5" i="9"/>
  <c r="J5" i="9" s="1"/>
  <c r="N8" i="9"/>
  <c r="O8" i="9" s="1"/>
  <c r="P8" i="9"/>
  <c r="N15" i="9"/>
  <c r="O15" i="9" s="1"/>
  <c r="M11" i="8"/>
  <c r="P10" i="9"/>
  <c r="L10" i="9"/>
  <c r="M10" i="9" s="1"/>
  <c r="N10" i="9"/>
  <c r="O10" i="9" s="1"/>
  <c r="N22" i="9"/>
  <c r="O22" i="9" s="1"/>
  <c r="P22" i="9"/>
  <c r="L22" i="9"/>
  <c r="M22" i="9" s="1"/>
  <c r="N21" i="9"/>
  <c r="O21" i="9" s="1"/>
  <c r="L21" i="9"/>
  <c r="M21" i="9" s="1"/>
  <c r="P21" i="9"/>
  <c r="N14" i="9"/>
  <c r="O14" i="9" s="1"/>
  <c r="P14" i="9"/>
  <c r="L14" i="9"/>
  <c r="M14" i="9" s="1"/>
  <c r="N12" i="9"/>
  <c r="O12" i="9" s="1"/>
  <c r="P12" i="9"/>
  <c r="L12" i="9"/>
  <c r="M12" i="9" s="1"/>
  <c r="L9" i="9"/>
  <c r="M9" i="9" s="1"/>
  <c r="N9" i="9"/>
  <c r="O9" i="9" s="1"/>
  <c r="P9" i="9"/>
  <c r="N13" i="9"/>
  <c r="O13" i="9" s="1"/>
  <c r="L13" i="9"/>
  <c r="M13" i="9" s="1"/>
  <c r="P13" i="9"/>
  <c r="P11" i="9"/>
  <c r="L11" i="9"/>
  <c r="M11" i="9" s="1"/>
  <c r="N11" i="9"/>
  <c r="O11" i="9" s="1"/>
  <c r="N17" i="9"/>
  <c r="O17" i="9" s="1"/>
  <c r="P7" i="9"/>
  <c r="P17" i="9"/>
  <c r="N6" i="9"/>
  <c r="O6" i="9" s="1"/>
  <c r="L19" i="9"/>
  <c r="M19" i="9" s="1"/>
  <c r="L7" i="9"/>
  <c r="M7" i="9" s="1"/>
  <c r="P19" i="9"/>
  <c r="L18" i="9"/>
  <c r="M18" i="9" s="1"/>
  <c r="L6" i="9"/>
  <c r="M6" i="9" s="1"/>
  <c r="P18" i="9"/>
  <c r="L20" i="9"/>
  <c r="M20" i="9" s="1"/>
  <c r="P15" i="9"/>
  <c r="L16" i="9"/>
  <c r="M16" i="9" s="1"/>
  <c r="P5" i="9"/>
  <c r="K13" i="9"/>
  <c r="K15" i="9"/>
  <c r="K22" i="9"/>
  <c r="K10" i="9"/>
  <c r="K21" i="9"/>
  <c r="K9" i="9"/>
  <c r="K11" i="9"/>
  <c r="K20" i="9"/>
  <c r="K8" i="9"/>
  <c r="K12" i="9"/>
  <c r="K19" i="9"/>
  <c r="K7" i="9"/>
  <c r="K14" i="9"/>
  <c r="K18" i="9"/>
  <c r="K6" i="9"/>
  <c r="K17" i="9"/>
  <c r="K5" i="9"/>
  <c r="K16" i="9"/>
  <c r="K4" i="9"/>
  <c r="M21" i="8"/>
  <c r="M8" i="8"/>
  <c r="M9" i="8"/>
  <c r="M13" i="8"/>
  <c r="M17" i="8"/>
  <c r="M6" i="8"/>
  <c r="M10" i="8"/>
  <c r="M18" i="8"/>
  <c r="M22" i="8"/>
  <c r="M12" i="8"/>
  <c r="M20" i="8"/>
  <c r="N18" i="8"/>
  <c r="N17" i="8"/>
  <c r="N16" i="8"/>
  <c r="N9" i="8"/>
  <c r="N13" i="8"/>
  <c r="N10" i="8"/>
  <c r="N8" i="8"/>
  <c r="N21" i="8"/>
  <c r="N12" i="8"/>
  <c r="N22" i="8"/>
  <c r="N6" i="8"/>
  <c r="N14" i="8"/>
  <c r="N7" i="8"/>
  <c r="N11" i="8"/>
  <c r="N15" i="8"/>
  <c r="N19" i="8"/>
  <c r="K22" i="4" l="1"/>
  <c r="L22" i="4" s="1"/>
  <c r="J22" i="4" a="1"/>
  <c r="J22" i="4" s="1"/>
  <c r="K21" i="4"/>
  <c r="L21" i="4" s="1"/>
  <c r="J21" i="4" a="1"/>
  <c r="J21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E6" i="5"/>
  <c r="D6" i="5"/>
  <c r="C6" i="5"/>
  <c r="E3" i="5"/>
  <c r="C3" i="5"/>
  <c r="D3" i="5"/>
  <c r="E7" i="5"/>
  <c r="D7" i="5"/>
  <c r="C7" i="5"/>
  <c r="E5" i="5"/>
  <c r="D5" i="5"/>
  <c r="C5" i="5"/>
  <c r="E4" i="5"/>
  <c r="D4" i="5"/>
  <c r="C4" i="5"/>
  <c r="I26" i="2"/>
  <c r="I25" i="2"/>
  <c r="I24" i="2"/>
  <c r="I21" i="2"/>
  <c r="I20" i="2"/>
  <c r="I19" i="2"/>
  <c r="I4" i="2"/>
  <c r="M4" i="2" s="1"/>
  <c r="I5" i="2"/>
  <c r="M5" i="2" s="1"/>
  <c r="I6" i="2"/>
  <c r="M6" i="2" s="1"/>
  <c r="I9" i="2"/>
  <c r="I10" i="2"/>
  <c r="I11" i="2"/>
  <c r="M11" i="2" s="1"/>
  <c r="I14" i="2"/>
  <c r="I15" i="2"/>
  <c r="I16" i="2"/>
  <c r="M16" i="2"/>
  <c r="M26" i="2"/>
  <c r="M25" i="2"/>
  <c r="M24" i="2"/>
  <c r="M21" i="2"/>
  <c r="M20" i="2"/>
  <c r="M19" i="2"/>
  <c r="M15" i="2"/>
  <c r="M14" i="2"/>
  <c r="M10" i="2"/>
  <c r="M9" i="2"/>
  <c r="F5" i="5" l="1" a="1"/>
  <c r="F5" i="5" s="1"/>
  <c r="F7" i="5" a="1"/>
  <c r="F7" i="5" s="1"/>
  <c r="F3" i="5" a="1"/>
  <c r="F3" i="5" s="1"/>
  <c r="F4" i="5" a="1"/>
  <c r="F4" i="5" s="1"/>
  <c r="F6" i="5" a="1"/>
  <c r="F6" i="5" s="1"/>
  <c r="P25" i="2"/>
  <c r="P5" i="2"/>
  <c r="P15" i="2"/>
  <c r="P20" i="2"/>
  <c r="P10" i="2"/>
  <c r="K4" i="8" l="1" a="1"/>
  <c r="K4" i="8" s="1"/>
  <c r="I8" i="4" a="1"/>
  <c r="I8" i="4" s="1"/>
  <c r="K8" i="4" s="1"/>
  <c r="L8" i="4" s="1"/>
  <c r="I13" i="4" a="1"/>
  <c r="I13" i="4" s="1"/>
  <c r="K13" i="4" s="1"/>
  <c r="L13" i="4" s="1"/>
  <c r="I14" i="4" a="1"/>
  <c r="I14" i="4" s="1"/>
  <c r="K14" i="4" s="1"/>
  <c r="L14" i="4" s="1"/>
  <c r="I9" i="4" a="1"/>
  <c r="I9" i="4" s="1"/>
  <c r="K9" i="4" s="1"/>
  <c r="L9" i="4" s="1"/>
  <c r="K5" i="8" a="1"/>
  <c r="K5" i="8" s="1"/>
  <c r="I6" i="4" a="1"/>
  <c r="I6" i="4" s="1"/>
  <c r="K6" i="4" s="1"/>
  <c r="L6" i="4" s="1"/>
  <c r="I12" i="4" a="1"/>
  <c r="I12" i="4" s="1"/>
  <c r="K12" i="4" s="1"/>
  <c r="L12" i="4" s="1"/>
  <c r="I10" i="4" a="1"/>
  <c r="I10" i="4" s="1"/>
  <c r="K10" i="4" s="1"/>
  <c r="L10" i="4" s="1"/>
  <c r="I5" i="4" a="1"/>
  <c r="I5" i="4" s="1"/>
  <c r="K5" i="4" s="1"/>
  <c r="L5" i="4" s="1"/>
  <c r="I7" i="4" a="1"/>
  <c r="I7" i="4" s="1"/>
  <c r="K7" i="4" s="1"/>
  <c r="L7" i="4" s="1"/>
  <c r="L4" i="9"/>
  <c r="L5" i="9"/>
  <c r="I4" i="4" a="1"/>
  <c r="I4" i="4" s="1"/>
  <c r="K4" i="4" s="1"/>
  <c r="L4" i="4" s="1"/>
  <c r="I11" i="4" a="1"/>
  <c r="I11" i="4" s="1"/>
  <c r="K11" i="4" s="1"/>
  <c r="L11" i="4" s="1"/>
  <c r="S30" i="2"/>
  <c r="M4" i="9" l="1"/>
  <c r="N4" i="9"/>
  <c r="O4" i="9" s="1"/>
  <c r="M5" i="8"/>
  <c r="N5" i="8"/>
  <c r="M5" i="9"/>
  <c r="N5" i="9"/>
  <c r="O5" i="9" s="1"/>
  <c r="M4" i="8"/>
  <c r="N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20065-13BF-0A49-B40F-5324D05A6A37}" keepAlive="1" name="Query - Append" description="Connection to the 'Append' query in the workbook." type="5" refreshedVersion="8" background="1" saveData="1">
    <dbPr connection="Provider=Microsoft.Mashup.OleDb.1;Data Source=$Workbook$;Location=Append;Extended Properties=&quot;&quot;" command="SELECT * FROM [Append]"/>
  </connection>
  <connection id="2" xr16:uid="{06A404D4-F7BA-C747-8AF7-3D626EF17F8A}" keepAlive="1" name="Query - Audit_Reports" description="Connection to the 'Audit_Reports' query in the workbook." type="5" refreshedVersion="8" background="1" saveData="1">
    <dbPr connection="Provider=Microsoft.Mashup.OleDb.1;Data Source=$Workbook$;Location=Audit_Reports;Extended Properties=&quot;&quot;" command="SELECT * FROM [Audit_Reports]"/>
  </connection>
  <connection id="3" xr16:uid="{CC992F43-4FFF-A84E-A6D8-76D78D7B0661}" keepAlive="1" name="Query - EEAOP1" description="Connection to the 'EEAOP1' query in the workbook." type="5" refreshedVersion="8" background="1" saveData="1">
    <dbPr connection="Provider=Microsoft.Mashup.OleDb.1;Data Source=$Workbook$;Location=EEAOP1;Extended Properties=&quot;&quot;" command="SELECT * FROM [EEAOP1]"/>
  </connection>
  <connection id="4" xr16:uid="{491C69EB-92EE-B041-A9CA-35A11C31FF97}" keepAlive="1" name="Query - MEA_SEE" description="Connection to the 'MEA_SEE' query in the workbook." type="5" refreshedVersion="8" background="1" saveData="1">
    <dbPr connection="Provider=Microsoft.Mashup.OleDb.1;Data Source=$Workbook$;Location=MEA_SEE;Extended Properties=&quot;&quot;" command="SELECT * FROM [MEA_SE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<sst xmlns="http://schemas.openxmlformats.org/spreadsheetml/2006/main" count="761" uniqueCount="149">
  <si>
    <t>Electricity</t>
  </si>
  <si>
    <t>Propane</t>
  </si>
  <si>
    <t>Oil</t>
  </si>
  <si>
    <t>Distillate Fuel Oil No. 2</t>
  </si>
  <si>
    <t>Natural Gas</t>
  </si>
  <si>
    <t>Input Amount</t>
  </si>
  <si>
    <t>CO2 Equivalent</t>
  </si>
  <si>
    <t>lbs of Gases Produced</t>
  </si>
  <si>
    <t>Stationary Combusion Output</t>
  </si>
  <si>
    <t>RFCE E-Grid Output</t>
  </si>
  <si>
    <t>Therms</t>
  </si>
  <si>
    <t>kWh</t>
  </si>
  <si>
    <t>Gallons</t>
  </si>
  <si>
    <t>Units</t>
  </si>
  <si>
    <t>Total Electricity CO2E Emissions Savings</t>
  </si>
  <si>
    <t>Total Propane CO2E Emissions Savings</t>
  </si>
  <si>
    <t>Total Oil CO2E Emissions Savings</t>
  </si>
  <si>
    <t>Total Natural Gas CO2E Emissions Savings</t>
  </si>
  <si>
    <t>GWP Values</t>
  </si>
  <si>
    <t>Total CO2 Equivalent Emissions Savings</t>
  </si>
  <si>
    <t>Diesel</t>
  </si>
  <si>
    <t>CO2 Factor, MT CO2/ kWh</t>
  </si>
  <si>
    <t>CO2 Factor, MT CO2/ Gallon</t>
  </si>
  <si>
    <t>CH4 Factor, MT CH4/ kWh</t>
  </si>
  <si>
    <t>CH4 Factor, MT CH4/ Gallon</t>
  </si>
  <si>
    <t>N2O Factor, MT N2O/ Gallon</t>
  </si>
  <si>
    <t>N2O Factor, MT N2O/ kWh</t>
  </si>
  <si>
    <t>CO2 Factor, MT CO2/ Therms</t>
  </si>
  <si>
    <t>CH4 Factor, MT CH4/ Therms</t>
  </si>
  <si>
    <t>N2O Factor, MT N2O/ Therms</t>
  </si>
  <si>
    <t>MT</t>
  </si>
  <si>
    <t>Metric Tons</t>
  </si>
  <si>
    <t>Total Diesel CO2E Emissions Savings</t>
  </si>
  <si>
    <t>Client</t>
  </si>
  <si>
    <t>County</t>
  </si>
  <si>
    <t>Funding Source</t>
  </si>
  <si>
    <t>Project Type</t>
  </si>
  <si>
    <t>Energy Source</t>
  </si>
  <si>
    <t>Emission Factor</t>
  </si>
  <si>
    <t>EF Units</t>
  </si>
  <si>
    <t>GHG Emission Savings</t>
  </si>
  <si>
    <t>Emission Savings Units</t>
  </si>
  <si>
    <t>Unit</t>
  </si>
  <si>
    <t>Fuel Type</t>
  </si>
  <si>
    <t>CO2 Factor</t>
  </si>
  <si>
    <t>CH4 Factor</t>
  </si>
  <si>
    <t>N2O Factor</t>
  </si>
  <si>
    <t>CO2e Factor</t>
  </si>
  <si>
    <t>Category</t>
  </si>
  <si>
    <t>Mass</t>
  </si>
  <si>
    <t>Energy</t>
  </si>
  <si>
    <t>Starting Unit</t>
  </si>
  <si>
    <t>Ending Unit</t>
  </si>
  <si>
    <t>Value</t>
  </si>
  <si>
    <t>Description</t>
  </si>
  <si>
    <t>GWP Value</t>
  </si>
  <si>
    <t>CO2</t>
  </si>
  <si>
    <t>CH4</t>
  </si>
  <si>
    <t>N2O</t>
  </si>
  <si>
    <t>g</t>
  </si>
  <si>
    <t>kg</t>
  </si>
  <si>
    <t>scf</t>
  </si>
  <si>
    <t>lb</t>
  </si>
  <si>
    <t>MWh</t>
  </si>
  <si>
    <t>therm</t>
  </si>
  <si>
    <t>MT/kWh</t>
  </si>
  <si>
    <t>MT/Gallon</t>
  </si>
  <si>
    <t>MT/Therm</t>
  </si>
  <si>
    <t>Input Energy Savings</t>
  </si>
  <si>
    <t>Reference:</t>
  </si>
  <si>
    <t>https://www.epa.gov/system/files/documents/2025-01/ghg-emission-factors-hub-2025.pdf</t>
  </si>
  <si>
    <t>MEA EEE</t>
  </si>
  <si>
    <t>Electrification</t>
  </si>
  <si>
    <t>Utility Savings</t>
  </si>
  <si>
    <t>Solar</t>
  </si>
  <si>
    <t>EEAOP</t>
  </si>
  <si>
    <t>Energy Savings</t>
  </si>
  <si>
    <t>Fuel Source</t>
  </si>
  <si>
    <t>MEA SEE</t>
  </si>
  <si>
    <t>Conversion Type</t>
  </si>
  <si>
    <t>kWh/year</t>
  </si>
  <si>
    <t>ft²</t>
  </si>
  <si>
    <t xml:space="preserve">Panel Power Density </t>
  </si>
  <si>
    <t xml:space="preserve">ft² </t>
  </si>
  <si>
    <t xml:space="preserve">kW </t>
  </si>
  <si>
    <t>System size per square foot (~15 W/ft²)</t>
  </si>
  <si>
    <t>Energy Yield</t>
  </si>
  <si>
    <t>Combined Conversion</t>
  </si>
  <si>
    <t>Annual energy per square foot (0.015 × 1260)</t>
  </si>
  <si>
    <t>Meaning</t>
  </si>
  <si>
    <t>Electricity Usage Before</t>
  </si>
  <si>
    <t>Solar Square Footage</t>
  </si>
  <si>
    <t>Solar Power Generated</t>
  </si>
  <si>
    <t>https://pvwatts.nlr.gov/pvwatts.php</t>
  </si>
  <si>
    <t>Average Annual energy per kW for Montgomery + Prince George’s Counties (PVWatts output)</t>
  </si>
  <si>
    <t>Audit Reports</t>
  </si>
  <si>
    <t>Different Types of Savings per client</t>
  </si>
  <si>
    <t>Sortable by program</t>
  </si>
  <si>
    <t>Sortable by project type</t>
  </si>
  <si>
    <t>Power Query</t>
  </si>
  <si>
    <t>Cost per Unit</t>
  </si>
  <si>
    <t>Gallon</t>
  </si>
  <si>
    <t>Therm</t>
  </si>
  <si>
    <t>Energy Usage Before</t>
  </si>
  <si>
    <t>Energy Usage After</t>
  </si>
  <si>
    <t>w</t>
  </si>
  <si>
    <t>Prince George's</t>
  </si>
  <si>
    <t>Montgomery</t>
  </si>
  <si>
    <t/>
  </si>
  <si>
    <t>Weatherization</t>
  </si>
  <si>
    <t>HEECAP</t>
  </si>
  <si>
    <t>John Smith</t>
  </si>
  <si>
    <t>Brayden Laker</t>
  </si>
  <si>
    <t>George Lei</t>
  </si>
  <si>
    <t>Tucker Michael</t>
  </si>
  <si>
    <t>Lois Blanc</t>
  </si>
  <si>
    <t>Madison Baker</t>
  </si>
  <si>
    <t>Weatherization &amp; Electrification</t>
  </si>
  <si>
    <t>Multi bar chart</t>
  </si>
  <si>
    <t>Bar chart</t>
  </si>
  <si>
    <t>Danny Lange</t>
  </si>
  <si>
    <t>Hubert West</t>
  </si>
  <si>
    <t>Grand Total</t>
  </si>
  <si>
    <t>Column Labels</t>
  </si>
  <si>
    <t>Total Utility Savings</t>
  </si>
  <si>
    <t>Sum of GHG Emission Savings (MT)</t>
  </si>
  <si>
    <t>Sum of Input Energy Savings</t>
  </si>
  <si>
    <t>Electricity Total</t>
  </si>
  <si>
    <t>Oil Total</t>
  </si>
  <si>
    <t>Propane Total</t>
  </si>
  <si>
    <t>County Energy Savings Dashboard</t>
  </si>
  <si>
    <t>Emissions Savings</t>
  </si>
  <si>
    <t>Fuel Sources Savings</t>
  </si>
  <si>
    <t>Bella Point</t>
  </si>
  <si>
    <t>Granet Guff</t>
  </si>
  <si>
    <t>Joel Vaught</t>
  </si>
  <si>
    <t>Natural Gas Total</t>
  </si>
  <si>
    <t>Diesel Total</t>
  </si>
  <si>
    <t>Patty Rein</t>
  </si>
  <si>
    <t>Edward Frost</t>
  </si>
  <si>
    <t>Quinten Loe</t>
  </si>
  <si>
    <t>Owen Lion</t>
  </si>
  <si>
    <t>Program Energy Savings Dashboard</t>
  </si>
  <si>
    <t>Counties</t>
  </si>
  <si>
    <t>Project Energy Savings Dashboard</t>
  </si>
  <si>
    <t>Programs</t>
  </si>
  <si>
    <t>Project Types</t>
  </si>
  <si>
    <t>(Multiple Items)</t>
  </si>
  <si>
    <t>Client Energy Savings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</si>
</sst>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0"/>
    <numFmt numFmtId="166" formatCode="0.00000000"/>
    <numFmt numFmtId="167" formatCode="0.000000"/>
    <numFmt numFmtId="168" formatCode="&quot;$&quot;#,##0.00"/>
    <numFmt numFmtId="173" formatCode="0.0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24"/>
      <color theme="1"/>
      <name val="Aptos Narrow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/>
    </xf>
    <xf numFmtId="164" fontId="0" fillId="0" borderId="9" xfId="0" applyNumberFormat="1" applyBorder="1"/>
    <xf numFmtId="0" fontId="0" fillId="0" borderId="0" xfId="0" applyAlignment="1">
      <alignment horizontal="left"/>
    </xf>
    <xf numFmtId="164" fontId="0" fillId="0" borderId="3" xfId="0" applyNumberFormat="1" applyBorder="1"/>
    <xf numFmtId="165" fontId="0" fillId="0" borderId="3" xfId="0" applyNumberFormat="1" applyBorder="1"/>
    <xf numFmtId="166" fontId="0" fillId="0" borderId="9" xfId="0" applyNumberFormat="1" applyBorder="1"/>
    <xf numFmtId="164" fontId="0" fillId="0" borderId="9" xfId="0" applyNumberFormat="1" applyBorder="1" applyAlignment="1">
      <alignment horizontal="right"/>
    </xf>
    <xf numFmtId="0" fontId="1" fillId="0" borderId="6" xfId="0" applyFont="1" applyBorder="1"/>
    <xf numFmtId="167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1"/>
    <xf numFmtId="0" fontId="0" fillId="0" borderId="0" xfId="0" applyNumberFormat="1"/>
    <xf numFmtId="168" fontId="0" fillId="0" borderId="0" xfId="0" applyNumberFormat="1"/>
    <xf numFmtId="0" fontId="0" fillId="0" borderId="0" xfId="0" applyBorder="1"/>
    <xf numFmtId="0" fontId="0" fillId="0" borderId="14" xfId="0" applyBorder="1"/>
    <xf numFmtId="0" fontId="2" fillId="0" borderId="0" xfId="1" applyBorder="1" applyAlignment="1">
      <alignment horizontal="left" vertical="center"/>
    </xf>
    <xf numFmtId="0" fontId="0" fillId="0" borderId="0" xfId="0" applyFill="1" applyBorder="1"/>
    <xf numFmtId="0" fontId="3" fillId="0" borderId="0" xfId="0" applyFont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3" fontId="0" fillId="0" borderId="0" xfId="0" applyNumberFormat="1" applyBorder="1" applyAlignment="1">
      <alignment horizontal="left" vertical="center"/>
    </xf>
    <xf numFmtId="0" fontId="2" fillId="0" borderId="0" xfId="1" applyBorder="1" applyAlignment="1">
      <alignment wrapText="1"/>
    </xf>
    <xf numFmtId="0" fontId="4" fillId="0" borderId="0" xfId="0" applyFont="1" applyFill="1" applyBorder="1"/>
    <xf numFmtId="168" fontId="0" fillId="0" borderId="0" xfId="0" applyNumberFormat="1" applyBorder="1"/>
    <xf numFmtId="0" fontId="1" fillId="0" borderId="0" xfId="0" applyFont="1"/>
    <xf numFmtId="0" fontId="1" fillId="0" borderId="6" xfId="0" applyFont="1" applyBorder="1" applyAlignment="1">
      <alignment horizontal="left"/>
    </xf>
    <xf numFmtId="0" fontId="0" fillId="0" borderId="0" xfId="0" applyNumberFormat="1" applyBorder="1"/>
    <xf numFmtId="0" fontId="6" fillId="3" borderId="9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6" fillId="2" borderId="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0" fillId="0" borderId="2" xfId="0" pivotButton="1" applyBorder="1"/>
    <xf numFmtId="0" fontId="0" fillId="0" borderId="3" xfId="0" pivotButton="1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0" fillId="0" borderId="7" xfId="0" applyNumberFormat="1" applyBorder="1"/>
    <xf numFmtId="0" fontId="0" fillId="0" borderId="1" xfId="0" pivotButton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NumberFormat="1" applyBorder="1"/>
    <xf numFmtId="0" fontId="0" fillId="0" borderId="15" xfId="0" applyNumberFormat="1" applyBorder="1"/>
    <xf numFmtId="173" fontId="0" fillId="0" borderId="11" xfId="0" applyNumberFormat="1" applyBorder="1"/>
    <xf numFmtId="173" fontId="0" fillId="0" borderId="15" xfId="0" applyNumberFormat="1" applyBorder="1"/>
    <xf numFmtId="0" fontId="6" fillId="3" borderId="8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0" borderId="5" xfId="0" pivotButton="1" applyBorder="1"/>
    <xf numFmtId="0" fontId="0" fillId="0" borderId="1" xfId="0" applyNumberFormat="1" applyBorder="1"/>
    <xf numFmtId="0" fontId="0" fillId="0" borderId="8" xfId="0" applyBorder="1" applyAlignment="1">
      <alignment horizontal="left"/>
    </xf>
    <xf numFmtId="0" fontId="0" fillId="0" borderId="9" xfId="0" applyNumberFormat="1" applyBorder="1"/>
    <xf numFmtId="0" fontId="0" fillId="0" borderId="10" xfId="0" applyNumberFormat="1" applyBorder="1"/>
    <xf numFmtId="0" fontId="0" fillId="0" borderId="0" xfId="0" applyFill="1"/>
    <xf numFmtId="0" fontId="0" fillId="0" borderId="8" xfId="0" applyNumberFormat="1" applyBorder="1"/>
    <xf numFmtId="0" fontId="0" fillId="0" borderId="8" xfId="0" pivotButton="1" applyBorder="1"/>
    <xf numFmtId="0" fontId="7" fillId="2" borderId="0" xfId="0" applyFont="1" applyFill="1" applyBorder="1" applyAlignment="1"/>
    <xf numFmtId="0" fontId="7" fillId="4" borderId="1" xfId="0" applyFont="1" applyFill="1" applyBorder="1" applyAlignment="1"/>
    <xf numFmtId="0" fontId="6" fillId="2" borderId="6" xfId="0" applyFont="1" applyFill="1" applyBorder="1" applyAlignment="1">
      <alignment horizontal="center"/>
    </xf>
    <xf numFmtId="0" fontId="7" fillId="4" borderId="12" xfId="0" applyFont="1" applyFill="1" applyBorder="1" applyAlignment="1"/>
  </cellXfs>
  <cellStyles count="2">
    <cellStyle name="Hyperlink" xfId="1" builtinId="8"/>
    <cellStyle name="Normal" xfId="0" builtinId="0"/>
  </cellStyles>
  <dxfs count="994"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173" formatCode="0.000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Calculator.xlsx]County Dashboard!Cost Savings Per County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Utility Savings Per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Dashboard'!$E$5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Dashboard'!$D$6:$D$8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Dashboard'!$E$6:$E$8</c:f>
              <c:numCache>
                <c:formatCode>General</c:formatCode>
                <c:ptCount val="2"/>
                <c:pt idx="0">
                  <c:v>1338.8</c:v>
                </c:pt>
                <c:pt idx="1">
                  <c:v>941.5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2-6C43-A741-B3BF300845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1554176"/>
        <c:axId val="681552832"/>
      </c:barChart>
      <c:catAx>
        <c:axId val="68155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52832"/>
        <c:crosses val="autoZero"/>
        <c:auto val="1"/>
        <c:lblAlgn val="ctr"/>
        <c:lblOffset val="100"/>
        <c:noMultiLvlLbl val="0"/>
      </c:catAx>
      <c:valAx>
        <c:axId val="6815528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Savings($)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815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Calculator.xlsx]County 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GHG Emission Savings Per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Dashboard'!$K$5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Dashboard'!$J$6:$J$8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Dashboard'!$K$6:$K$8</c:f>
              <c:numCache>
                <c:formatCode>0.0000</c:formatCode>
                <c:ptCount val="2"/>
                <c:pt idx="0">
                  <c:v>3.4497151181889554</c:v>
                </c:pt>
                <c:pt idx="1">
                  <c:v>2.66631257818351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B-524B-B17A-43FE963513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2024384"/>
        <c:axId val="658418624"/>
      </c:barChart>
      <c:catAx>
        <c:axId val="65202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8624"/>
        <c:crosses val="autoZero"/>
        <c:auto val="1"/>
        <c:lblAlgn val="ctr"/>
        <c:lblOffset val="100"/>
        <c:noMultiLvlLbl val="0"/>
      </c:catAx>
      <c:valAx>
        <c:axId val="658418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GHG Emission </a:t>
                </a:r>
              </a:p>
              <a:p>
                <a:pPr>
                  <a:defRPr sz="1400"/>
                </a:pPr>
                <a:r>
                  <a:rPr lang="en-US" sz="1400"/>
                  <a:t>Savings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crossAx val="6520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Calculator.xlsx]County 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Fuel Source Savings Per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'County Dashboard'!$C$11:$C$13</c:f>
              <c:strCache>
                <c:ptCount val="1"/>
                <c:pt idx="0">
                  <c:v>Electricity - kWh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Dashboard'!$B$14:$B$16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Dashboard'!$C$14:$C$16</c:f>
              <c:numCache>
                <c:formatCode>General</c:formatCode>
                <c:ptCount val="2"/>
                <c:pt idx="0">
                  <c:v>1140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9-2D42-AD86-3370DD46B1DD}"/>
            </c:ext>
          </c:extLst>
        </c:ser>
        <c:ser>
          <c:idx val="1"/>
          <c:order val="1"/>
          <c:tx>
            <c:strRef>
              <c:f>'County Dashboard'!$E$11:$E$13</c:f>
              <c:strCache>
                <c:ptCount val="1"/>
                <c:pt idx="0">
                  <c:v>Oil - Gallons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Dashboard'!$B$14:$B$16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Dashboard'!$E$14:$E$16</c:f>
              <c:numCache>
                <c:formatCode>General</c:formatCode>
                <c:ptCount val="2"/>
                <c:pt idx="0">
                  <c:v>40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9-2D42-AD86-3370DD46B1DD}"/>
            </c:ext>
          </c:extLst>
        </c:ser>
        <c:ser>
          <c:idx val="2"/>
          <c:order val="2"/>
          <c:tx>
            <c:strRef>
              <c:f>'County Dashboard'!$G$11:$G$13</c:f>
              <c:strCache>
                <c:ptCount val="1"/>
                <c:pt idx="0">
                  <c:v>Propane - Gallons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Dashboard'!$B$14:$B$16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Dashboard'!$G$14:$G$16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9-2D42-AD86-3370DD46B1DD}"/>
            </c:ext>
          </c:extLst>
        </c:ser>
        <c:ser>
          <c:idx val="3"/>
          <c:order val="3"/>
          <c:tx>
            <c:strRef>
              <c:f>'County Dashboard'!$I$11:$I$13</c:f>
              <c:strCache>
                <c:ptCount val="1"/>
                <c:pt idx="0">
                  <c:v>Natural Gas - Therms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Dashboard'!$B$14:$B$16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Dashboard'!$I$14:$I$16</c:f>
              <c:numCache>
                <c:formatCode>General</c:formatCode>
                <c:ptCount val="2"/>
                <c:pt idx="0">
                  <c:v>400</c:v>
                </c:pt>
                <c:pt idx="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9-2D42-AD86-3370DD46B1DD}"/>
            </c:ext>
          </c:extLst>
        </c:ser>
        <c:ser>
          <c:idx val="4"/>
          <c:order val="4"/>
          <c:tx>
            <c:strRef>
              <c:f>'County Dashboard'!$K$11:$K$13</c:f>
              <c:strCache>
                <c:ptCount val="1"/>
                <c:pt idx="0">
                  <c:v>Diesel - Gallons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'County Dashboard'!$B$14:$B$16</c:f>
              <c:strCache>
                <c:ptCount val="2"/>
                <c:pt idx="0">
                  <c:v>Montgomery</c:v>
                </c:pt>
                <c:pt idx="1">
                  <c:v>Prince George's</c:v>
                </c:pt>
              </c:strCache>
            </c:strRef>
          </c:cat>
          <c:val>
            <c:numRef>
              <c:f>'County Dashboard'!$K$14:$K$16</c:f>
              <c:numCache>
                <c:formatCode>General</c:formatCode>
                <c:ptCount val="2"/>
                <c:pt idx="0">
                  <c:v>20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9-2D42-AD86-3370DD46B1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9426432"/>
        <c:axId val="639428224"/>
      </c:barChart>
      <c:catAx>
        <c:axId val="63942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Counties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28224"/>
        <c:crosses val="autoZero"/>
        <c:auto val="1"/>
        <c:lblAlgn val="ctr"/>
        <c:lblOffset val="100"/>
        <c:noMultiLvlLbl val="0"/>
      </c:catAx>
      <c:valAx>
        <c:axId val="6394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Energy</a:t>
                </a:r>
                <a:r>
                  <a:rPr lang="en-US" sz="1400" baseline="0"/>
                  <a:t> Savings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39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21882609978058"/>
          <c:y val="4.5954122701226868E-2"/>
          <c:w val="9.2484053542904565E-2"/>
          <c:h val="0.3732040229259325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Calculator.xlsx]Program Dashboard!Cost Savings Per County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Utility Savings Per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'Program Dashboard'!$E$5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Dashboard'!$D$6:$D$8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Dashboard'!$E$6:$E$8</c:f>
              <c:numCache>
                <c:formatCode>General</c:formatCode>
                <c:ptCount val="2"/>
                <c:pt idx="0">
                  <c:v>1933.5</c:v>
                </c:pt>
                <c:pt idx="1">
                  <c:v>346.80000000000007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B-E04F-A7B4-E3850B0682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1554176"/>
        <c:axId val="681552832"/>
      </c:barChart>
      <c:catAx>
        <c:axId val="68155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52832"/>
        <c:crosses val="autoZero"/>
        <c:auto val="1"/>
        <c:lblAlgn val="ctr"/>
        <c:lblOffset val="100"/>
        <c:noMultiLvlLbl val="0"/>
      </c:catAx>
      <c:valAx>
        <c:axId val="6815528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Savings($)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815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Calculator.xlsx]Program Dashboard!PivotTable2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GHG Emission Savings Per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'Program Dashboard'!$K$5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Dashboard'!$J$6:$J$8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Dashboard'!$K$6:$K$8</c:f>
              <c:numCache>
                <c:formatCode>General</c:formatCode>
                <c:ptCount val="2"/>
                <c:pt idx="0">
                  <c:v>5.6350804370529062</c:v>
                </c:pt>
                <c:pt idx="1">
                  <c:v>0.48094725931955939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E-754E-999F-ED1EA7E1214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2024384"/>
        <c:axId val="658418624"/>
      </c:barChart>
      <c:catAx>
        <c:axId val="65202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8624"/>
        <c:crosses val="autoZero"/>
        <c:auto val="1"/>
        <c:lblAlgn val="ctr"/>
        <c:lblOffset val="100"/>
        <c:noMultiLvlLbl val="0"/>
      </c:catAx>
      <c:valAx>
        <c:axId val="658418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GHG Emission </a:t>
                </a:r>
              </a:p>
              <a:p>
                <a:pPr>
                  <a:defRPr sz="1400"/>
                </a:pPr>
                <a:r>
                  <a:rPr lang="en-US" sz="1400"/>
                  <a:t>Savings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520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Calculator.xlsx]Program Dashboard!PivotTable3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Fuel Source Savings Per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'Program Dashboard'!$C$13:$C$15</c:f>
              <c:strCache>
                <c:ptCount val="1"/>
                <c:pt idx="0">
                  <c:v>Electricity - kWh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Dashboard'!$B$16:$B$18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Dashboard'!$C$16:$C$18</c:f>
              <c:numCache>
                <c:formatCode>General</c:formatCode>
                <c:ptCount val="2"/>
                <c:pt idx="0">
                  <c:v>300</c:v>
                </c:pt>
                <c:pt idx="1">
                  <c:v>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54-5B41-819A-5080B078FA2F}"/>
            </c:ext>
          </c:extLst>
        </c:ser>
        <c:ser>
          <c:idx val="1"/>
          <c:order val="1"/>
          <c:tx>
            <c:strRef>
              <c:f>'Program Dashboard'!$E$13:$E$15</c:f>
              <c:strCache>
                <c:ptCount val="1"/>
                <c:pt idx="0">
                  <c:v>Oil - Gallons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Dashboard'!$B$16:$B$18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Dashboard'!$E$16:$E$18</c:f>
              <c:numCache>
                <c:formatCode>General</c:formatCode>
                <c:ptCount val="2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54-5B41-819A-5080B078FA2F}"/>
            </c:ext>
          </c:extLst>
        </c:ser>
        <c:ser>
          <c:idx val="2"/>
          <c:order val="2"/>
          <c:tx>
            <c:strRef>
              <c:f>'Program Dashboard'!$G$13:$G$15</c:f>
              <c:strCache>
                <c:ptCount val="1"/>
                <c:pt idx="0">
                  <c:v>Propane - Gallons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Dashboard'!$B$16:$B$18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Dashboard'!$G$16:$G$18</c:f>
              <c:numCache>
                <c:formatCode>General</c:formatCode>
                <c:ptCount val="2"/>
                <c:pt idx="0">
                  <c:v>70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54-5B41-819A-5080B078FA2F}"/>
            </c:ext>
          </c:extLst>
        </c:ser>
        <c:ser>
          <c:idx val="3"/>
          <c:order val="3"/>
          <c:tx>
            <c:strRef>
              <c:f>'Program Dashboard'!$I$13:$I$15</c:f>
              <c:strCache>
                <c:ptCount val="1"/>
                <c:pt idx="0">
                  <c:v>Natural Gas - Therms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9807773381973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F54-5B41-819A-5080B078FA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Dashboard'!$B$16:$B$18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Dashboard'!$I$16:$I$18</c:f>
              <c:numCache>
                <c:formatCode>General</c:formatCode>
                <c:ptCount val="2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54-5B41-819A-5080B078FA2F}"/>
            </c:ext>
          </c:extLst>
        </c:ser>
        <c:ser>
          <c:idx val="4"/>
          <c:order val="4"/>
          <c:tx>
            <c:strRef>
              <c:f>'Program Dashboard'!$K$13:$K$15</c:f>
              <c:strCache>
                <c:ptCount val="1"/>
                <c:pt idx="0">
                  <c:v>Diesel - Gallons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'Program Dashboard'!$B$16:$B$18</c:f>
              <c:strCache>
                <c:ptCount val="2"/>
                <c:pt idx="0">
                  <c:v>HEECAP</c:v>
                </c:pt>
                <c:pt idx="1">
                  <c:v>MEA EEE</c:v>
                </c:pt>
              </c:strCache>
            </c:strRef>
          </c:cat>
          <c:val>
            <c:numRef>
              <c:f>'Program Dashboard'!$K$16:$K$18</c:f>
              <c:numCache>
                <c:formatCode>General</c:formatCode>
                <c:ptCount val="2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54-5B41-819A-5080B078FA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9426432"/>
        <c:axId val="639428224"/>
      </c:barChart>
      <c:catAx>
        <c:axId val="63942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28224"/>
        <c:crosses val="autoZero"/>
        <c:auto val="1"/>
        <c:lblAlgn val="ctr"/>
        <c:lblOffset val="100"/>
        <c:noMultiLvlLbl val="0"/>
      </c:catAx>
      <c:valAx>
        <c:axId val="6394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Energy</a:t>
                </a:r>
                <a:r>
                  <a:rPr lang="en-US" sz="1400" baseline="0"/>
                  <a:t> Savings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39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1882609978058"/>
          <c:y val="4.5954122701226868E-2"/>
          <c:w val="8.1387390107066818E-2"/>
          <c:h val="0.18825890098155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Calculator.xlsx]Project Dashboard!Cost Savings Per County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Utility Savings Per Project</a:t>
            </a:r>
            <a:r>
              <a:rPr lang="en-US" sz="2000" baseline="0"/>
              <a:t> Types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Dashboard'!$E$5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Dashboard'!$D$6:$D$9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Dashboard'!$E$6:$E$9</c:f>
              <c:numCache>
                <c:formatCode>General</c:formatCode>
                <c:ptCount val="3"/>
                <c:pt idx="0">
                  <c:v>1989.8</c:v>
                </c:pt>
                <c:pt idx="1">
                  <c:v>206.5</c:v>
                </c:pt>
                <c:pt idx="2">
                  <c:v>84.000000000000014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B-0F4F-8E43-04CCFAFFD3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1554176"/>
        <c:axId val="681552832"/>
      </c:barChart>
      <c:catAx>
        <c:axId val="68155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Project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52832"/>
        <c:crosses val="autoZero"/>
        <c:auto val="1"/>
        <c:lblAlgn val="ctr"/>
        <c:lblOffset val="100"/>
        <c:noMultiLvlLbl val="0"/>
      </c:catAx>
      <c:valAx>
        <c:axId val="6815528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Savings($)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815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Calculator.xlsx]Project Dashboard!PivotTable2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GHG Emission Savings Per Project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Dashboard'!$K$5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Dashboard'!$J$6:$J$9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Dashboard'!$K$6:$K$9</c:f>
              <c:numCache>
                <c:formatCode>General</c:formatCode>
                <c:ptCount val="3"/>
                <c:pt idx="0">
                  <c:v>5.4414079283095393</c:v>
                </c:pt>
                <c:pt idx="1">
                  <c:v>0.51213399999999998</c:v>
                </c:pt>
                <c:pt idx="2">
                  <c:v>0.162485768062926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4-274F-912B-F0150C01A7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2024384"/>
        <c:axId val="658418624"/>
      </c:barChart>
      <c:catAx>
        <c:axId val="65202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Project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8624"/>
        <c:crosses val="autoZero"/>
        <c:auto val="1"/>
        <c:lblAlgn val="ctr"/>
        <c:lblOffset val="100"/>
        <c:noMultiLvlLbl val="0"/>
      </c:catAx>
      <c:valAx>
        <c:axId val="658418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GHG Emission </a:t>
                </a:r>
              </a:p>
              <a:p>
                <a:pPr>
                  <a:defRPr sz="1400"/>
                </a:pPr>
                <a:r>
                  <a:rPr lang="en-US" sz="1400"/>
                  <a:t>Savings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520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Calculator.xlsx]Project Dashboard!PivotTable3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Fuel Source Savings Per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 Dashboard'!$C$13:$C$15</c:f>
              <c:strCache>
                <c:ptCount val="1"/>
                <c:pt idx="0">
                  <c:v>Electricity - kWh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Dashboard'!$B$16:$B$19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Dashboard'!$C$16:$C$19</c:f>
              <c:numCache>
                <c:formatCode>General</c:formatCode>
                <c:ptCount val="3"/>
                <c:pt idx="0">
                  <c:v>840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73-E341-8F38-0012954BE031}"/>
            </c:ext>
          </c:extLst>
        </c:ser>
        <c:ser>
          <c:idx val="1"/>
          <c:order val="1"/>
          <c:tx>
            <c:strRef>
              <c:f>'Project Dashboard'!$E$13:$E$15</c:f>
              <c:strCache>
                <c:ptCount val="1"/>
                <c:pt idx="0">
                  <c:v>Oil - Gallons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Dashboard'!$B$16:$B$19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Dashboard'!$E$16:$E$19</c:f>
              <c:numCache>
                <c:formatCode>General</c:formatCode>
                <c:ptCount val="3"/>
                <c:pt idx="0">
                  <c:v>40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73-E341-8F38-0012954BE031}"/>
            </c:ext>
          </c:extLst>
        </c:ser>
        <c:ser>
          <c:idx val="2"/>
          <c:order val="2"/>
          <c:tx>
            <c:strRef>
              <c:f>'Project Dashboard'!$G$13:$G$15</c:f>
              <c:strCache>
                <c:ptCount val="1"/>
                <c:pt idx="0">
                  <c:v>Propane - Gallons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Dashboard'!$B$16:$B$19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Dashboard'!$G$16:$G$19</c:f>
              <c:numCache>
                <c:formatCode>General</c:formatCode>
                <c:ptCount val="3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73-E341-8F38-0012954BE031}"/>
            </c:ext>
          </c:extLst>
        </c:ser>
        <c:ser>
          <c:idx val="3"/>
          <c:order val="3"/>
          <c:tx>
            <c:strRef>
              <c:f>'Project Dashboard'!$I$13:$I$15</c:f>
              <c:strCache>
                <c:ptCount val="1"/>
                <c:pt idx="0">
                  <c:v>Natural Gas - Therms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Dashboard'!$B$16:$B$19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Dashboard'!$I$16:$I$19</c:f>
              <c:numCache>
                <c:formatCode>General</c:formatCode>
                <c:ptCount val="3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B73-E341-8F38-0012954BE031}"/>
            </c:ext>
          </c:extLst>
        </c:ser>
        <c:ser>
          <c:idx val="4"/>
          <c:order val="4"/>
          <c:tx>
            <c:strRef>
              <c:f>'Project Dashboard'!$K$13:$K$15</c:f>
              <c:strCache>
                <c:ptCount val="1"/>
                <c:pt idx="0">
                  <c:v>Diesel - Gallons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'Project Dashboard'!$B$16:$B$19</c:f>
              <c:strCache>
                <c:ptCount val="3"/>
                <c:pt idx="0">
                  <c:v>Electrification</c:v>
                </c:pt>
                <c:pt idx="1">
                  <c:v>Weatherization</c:v>
                </c:pt>
                <c:pt idx="2">
                  <c:v>Weatherization &amp; Electrification</c:v>
                </c:pt>
              </c:strCache>
            </c:strRef>
          </c:cat>
          <c:val>
            <c:numRef>
              <c:f>'Project Dashboard'!$K$16:$K$19</c:f>
              <c:numCache>
                <c:formatCode>General</c:formatCode>
                <c:ptCount val="3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73-E341-8F38-0012954BE03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9426432"/>
        <c:axId val="639428224"/>
      </c:barChart>
      <c:catAx>
        <c:axId val="63942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Project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28224"/>
        <c:crosses val="autoZero"/>
        <c:auto val="1"/>
        <c:lblAlgn val="ctr"/>
        <c:lblOffset val="100"/>
        <c:noMultiLvlLbl val="0"/>
      </c:catAx>
      <c:valAx>
        <c:axId val="6394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Energy</a:t>
                </a:r>
                <a:r>
                  <a:rPr lang="en-US" sz="1400" baseline="0"/>
                  <a:t> Savings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39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1882609978058"/>
          <c:y val="4.5954122701226868E-2"/>
          <c:w val="8.3400362918080895E-2"/>
          <c:h val="0.1889371549927979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Calculator.xlsx]Client Dashboard!Cost Savings Per County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Utility Savings Per For</a:t>
            </a:r>
            <a:r>
              <a:rPr lang="en-US" sz="2000" baseline="0"/>
              <a:t> Client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Dashboard'!$D$6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Dashboard'!$D$7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Dashboard'!$D$7</c:f>
              <c:numCache>
                <c:formatCode>General</c:formatCode>
                <c:ptCount val="1"/>
                <c:pt idx="0">
                  <c:v>2280.3000000000002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9-FE41-9424-3382E9FAD1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1554176"/>
        <c:axId val="681552832"/>
      </c:barChart>
      <c:catAx>
        <c:axId val="681554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552832"/>
        <c:crosses val="autoZero"/>
        <c:auto val="1"/>
        <c:lblAlgn val="ctr"/>
        <c:lblOffset val="100"/>
        <c:noMultiLvlLbl val="0"/>
      </c:catAx>
      <c:valAx>
        <c:axId val="6815528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Savings($)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8155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Calculator.xlsx]Client Dashboard!PivotTable2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 GHG Emission Savings For</a:t>
            </a:r>
            <a:r>
              <a:rPr lang="en-US" sz="2000" baseline="0"/>
              <a:t> Client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Dashboard'!$J$6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Dashboard'!$J$7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Dashboard'!$J$7</c:f>
              <c:numCache>
                <c:formatCode>General</c:formatCode>
                <c:ptCount val="1"/>
                <c:pt idx="0">
                  <c:v>6.1160276963724653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D-374C-9CB1-04AB9C162E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52024384"/>
        <c:axId val="658418624"/>
      </c:barChart>
      <c:catAx>
        <c:axId val="65202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418624"/>
        <c:crosses val="autoZero"/>
        <c:auto val="1"/>
        <c:lblAlgn val="ctr"/>
        <c:lblOffset val="100"/>
        <c:noMultiLvlLbl val="0"/>
      </c:catAx>
      <c:valAx>
        <c:axId val="658418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GHG Emission </a:t>
                </a:r>
              </a:p>
              <a:p>
                <a:pPr>
                  <a:defRPr sz="1400"/>
                </a:pPr>
                <a:r>
                  <a:rPr lang="en-US" sz="1400"/>
                  <a:t>Savings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5202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[Habitat for Humanity Final Draft Emissions Calculator.xlsx]Client Dashboard!PivotTable3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Fuel Source Savings Per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0"/>
              <c:y val="3.98077733819733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1.5778367753875602E-16"/>
              <c:y val="4.86539452446340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Dashboard'!$C$14:$C$16</c:f>
              <c:strCache>
                <c:ptCount val="1"/>
                <c:pt idx="0">
                  <c:v>Electricity - kWh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Dashboard'!$B$17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Dashboard'!$C$17</c:f>
              <c:numCache>
                <c:formatCode>General</c:formatCode>
                <c:ptCount val="1"/>
                <c:pt idx="0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77-5A42-83DC-AE3E977B8866}"/>
            </c:ext>
          </c:extLst>
        </c:ser>
        <c:ser>
          <c:idx val="1"/>
          <c:order val="1"/>
          <c:tx>
            <c:strRef>
              <c:f>'Client Dashboard'!$E$14:$E$16</c:f>
              <c:strCache>
                <c:ptCount val="1"/>
                <c:pt idx="0">
                  <c:v>Oil - Gallons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Dashboard'!$B$17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Dashboard'!$E$17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77-5A42-83DC-AE3E977B8866}"/>
            </c:ext>
          </c:extLst>
        </c:ser>
        <c:ser>
          <c:idx val="2"/>
          <c:order val="2"/>
          <c:tx>
            <c:strRef>
              <c:f>'Client Dashboard'!$G$14:$G$16</c:f>
              <c:strCache>
                <c:ptCount val="1"/>
                <c:pt idx="0">
                  <c:v>Propane - Gallons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Dashboard'!$B$17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Dashboard'!$G$17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677-5A42-83DC-AE3E977B8866}"/>
            </c:ext>
          </c:extLst>
        </c:ser>
        <c:ser>
          <c:idx val="3"/>
          <c:order val="3"/>
          <c:tx>
            <c:strRef>
              <c:f>'Client Dashboard'!$I$14:$I$16</c:f>
              <c:strCache>
                <c:ptCount val="1"/>
                <c:pt idx="0">
                  <c:v>Natural Gas - Therms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1.5778367753875602E-16"/>
                  <c:y val="4.865394524463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Dashboard'!$B$17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Dashboard'!$I$17</c:f>
              <c:numCache>
                <c:formatCode>General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677-5A42-83DC-AE3E977B8866}"/>
            </c:ext>
          </c:extLst>
        </c:ser>
        <c:ser>
          <c:idx val="4"/>
          <c:order val="4"/>
          <c:tx>
            <c:strRef>
              <c:f>'Client Dashboard'!$K$14:$K$16</c:f>
              <c:strCache>
                <c:ptCount val="1"/>
                <c:pt idx="0">
                  <c:v>Diesel - Gallons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'Client Dashboard'!$B$17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'Client Dashboard'!$K$17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677-5A42-83DC-AE3E977B88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9426432"/>
        <c:axId val="639428224"/>
      </c:barChart>
      <c:catAx>
        <c:axId val="639426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28224"/>
        <c:crosses val="autoZero"/>
        <c:auto val="1"/>
        <c:lblAlgn val="ctr"/>
        <c:lblOffset val="100"/>
        <c:noMultiLvlLbl val="0"/>
      </c:catAx>
      <c:valAx>
        <c:axId val="639428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Energy</a:t>
                </a:r>
                <a:r>
                  <a:rPr lang="en-US" sz="1400" baseline="0"/>
                  <a:t> Savings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394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1882609978058"/>
          <c:y val="4.5954122701226868E-2"/>
          <c:w val="8.6545859351244939E-2"/>
          <c:h val="0.18825890098155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810937</xdr:colOff>
      <xdr:row>17</xdr:row>
      <xdr:rowOff>37045</xdr:rowOff>
    </xdr:from>
    <xdr:to>
      <xdr:col>7</xdr:col>
      <xdr:colOff>15118</xdr:colOff>
      <xdr:row>38</xdr:row>
      <xdr:rowOff>76806</xdr:rowOff>
    </xdr:to>
    <xdr:graphicFrame macro="">
      <xdr:nvGraphicFramePr>
        <xdr:cNvPr id="2" name="Total Utility Savings Per County">
          <a:extLst>
            <a:ext uri="{FF2B5EF4-FFF2-40B4-BE49-F238E27FC236}">
              <a16:creationId xmlns:a16="http://schemas.microsoft.com/office/drawing/2014/main" id="{B9C24F6F-BAFE-98B0-81BE-A7405FCC1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457201</xdr:colOff>
      <xdr:row>17</xdr:row>
      <xdr:rowOff>46429</xdr:rowOff>
    </xdr:from>
    <xdr:to>
      <xdr:col>13</xdr:col>
      <xdr:colOff>25401</xdr:colOff>
      <xdr:row>38</xdr:row>
      <xdr:rowOff>21167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D25EEA-C204-76C7-3C25-AC03277EF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816930</xdr:colOff>
      <xdr:row>39</xdr:row>
      <xdr:rowOff>74003</xdr:rowOff>
    </xdr:from>
    <xdr:to>
      <xdr:col>13</xdr:col>
      <xdr:colOff>65919</xdr:colOff>
      <xdr:row>67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5CA587-512B-BD3B-B8F8-9D49F8038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819404</xdr:colOff>
      <xdr:row>21</xdr:row>
      <xdr:rowOff>7411</xdr:rowOff>
    </xdr:from>
    <xdr:to>
      <xdr:col>7</xdr:col>
      <xdr:colOff>27818</xdr:colOff>
      <xdr:row>42</xdr:row>
      <xdr:rowOff>47172</xdr:rowOff>
    </xdr:to>
    <xdr:graphicFrame macro="">
      <xdr:nvGraphicFramePr>
        <xdr:cNvPr id="2" name="Total Utility Savings Per County">
          <a:extLst>
            <a:ext uri="{FF2B5EF4-FFF2-40B4-BE49-F238E27FC236}">
              <a16:creationId xmlns:a16="http://schemas.microsoft.com/office/drawing/2014/main" id="{E331383A-E05F-F04D-B2A2-C8CF65272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370884</xdr:colOff>
      <xdr:row>21</xdr:row>
      <xdr:rowOff>13586</xdr:rowOff>
    </xdr:from>
    <xdr:to>
      <xdr:col>13</xdr:col>
      <xdr:colOff>3504</xdr:colOff>
      <xdr:row>42</xdr:row>
      <xdr:rowOff>33717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0CF59-4D8F-2A40-A618-B2488C24F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816930</xdr:colOff>
      <xdr:row>42</xdr:row>
      <xdr:rowOff>201003</xdr:rowOff>
    </xdr:from>
    <xdr:to>
      <xdr:col>13</xdr:col>
      <xdr:colOff>99786</xdr:colOff>
      <xdr:row>71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F6DFE-1841-3E44-99F4-EA5B32349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1081</xdr:colOff>
      <xdr:row>20</xdr:row>
      <xdr:rowOff>184292</xdr:rowOff>
    </xdr:from>
    <xdr:to>
      <xdr:col>6</xdr:col>
      <xdr:colOff>699421</xdr:colOff>
      <xdr:row>42</xdr:row>
      <xdr:rowOff>21589</xdr:rowOff>
    </xdr:to>
    <xdr:graphicFrame macro="">
      <xdr:nvGraphicFramePr>
        <xdr:cNvPr id="2" name="Total Utility Savings Per County">
          <a:extLst>
            <a:ext uri="{FF2B5EF4-FFF2-40B4-BE49-F238E27FC236}">
              <a16:creationId xmlns:a16="http://schemas.microsoft.com/office/drawing/2014/main" id="{36B4CABE-4B15-1145-A464-1B1DA1E2E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349710</xdr:colOff>
      <xdr:row>21</xdr:row>
      <xdr:rowOff>6854</xdr:rowOff>
    </xdr:from>
    <xdr:to>
      <xdr:col>13</xdr:col>
      <xdr:colOff>66813</xdr:colOff>
      <xdr:row>42</xdr:row>
      <xdr:rowOff>55216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C09C0F-D00B-EA48-8114-EDCF83A44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816930</xdr:colOff>
      <xdr:row>43</xdr:row>
      <xdr:rowOff>18787</xdr:rowOff>
    </xdr:from>
    <xdr:to>
      <xdr:col>13</xdr:col>
      <xdr:colOff>65919</xdr:colOff>
      <xdr:row>71</xdr:row>
      <xdr:rowOff>71784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2BC4D2-4386-2149-A564-6A487A7E3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1081</xdr:colOff>
      <xdr:row>21</xdr:row>
      <xdr:rowOff>184292</xdr:rowOff>
    </xdr:from>
    <xdr:to>
      <xdr:col>6</xdr:col>
      <xdr:colOff>699421</xdr:colOff>
      <xdr:row>43</xdr:row>
      <xdr:rowOff>21589</xdr:rowOff>
    </xdr:to>
    <xdr:graphicFrame macro="">
      <xdr:nvGraphicFramePr>
        <xdr:cNvPr id="2" name="Total Utility Savings Per County">
          <a:extLst>
            <a:ext uri="{FF2B5EF4-FFF2-40B4-BE49-F238E27FC236}">
              <a16:creationId xmlns:a16="http://schemas.microsoft.com/office/drawing/2014/main" id="{051B4CE3-0395-074A-9125-F6808DE23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349710</xdr:colOff>
      <xdr:row>22</xdr:row>
      <xdr:rowOff>6854</xdr:rowOff>
    </xdr:from>
    <xdr:to>
      <xdr:col>13</xdr:col>
      <xdr:colOff>66813</xdr:colOff>
      <xdr:row>43</xdr:row>
      <xdr:rowOff>55216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4A5793-6055-B543-B40A-F150ED570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816930</xdr:colOff>
      <xdr:row>44</xdr:row>
      <xdr:rowOff>18787</xdr:rowOff>
    </xdr:from>
    <xdr:to>
      <xdr:col>13</xdr:col>
      <xdr:colOff>65919</xdr:colOff>
      <xdr:row>72</xdr:row>
      <xdr:rowOff>71784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9A6BFF-C9E8-7640-9670-C1BC81F18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ncer Feldmann" refreshedDate="46115.164275578703" createdVersion="8" refreshedVersion="8" minRefreshableVersion="3" recordCount="19" xr:uid="{64D07560-6D44-A54A-B70A-B4A87063276A}">
  <cacheSource type="worksheet">
    <worksheetSource name="Audit_Reports"/>
  </cacheSource>
  <cacheFields count="12">
    <cacheField name="Client" numFmtId="0">
      <sharedItems containsBlank="1" count="12">
        <s v="Lois Blanc"/>
        <s v="Madison Baker"/>
        <s v="Hubert West"/>
        <s v="Danny Lange"/>
        <s v="Bella Point"/>
        <s v="Granet Guff"/>
        <s v="Joel Vaught"/>
        <s v="Patty Rein"/>
        <s v="Edward Frost"/>
        <s v="Quinten Loe"/>
        <s v="Owen Lion"/>
        <m/>
      </sharedItems>
    </cacheField>
    <cacheField name="County" numFmtId="0">
      <sharedItems containsBlank="1" count="3">
        <s v="Prince George's"/>
        <s v="Montgomery"/>
        <m/>
      </sharedItems>
    </cacheField>
    <cacheField name="Funding Source" numFmtId="0">
      <sharedItems containsBlank="1" count="3">
        <s v="HEECAP"/>
        <s v="MEA EEE"/>
        <m/>
      </sharedItems>
    </cacheField>
    <cacheField name="Project Type" numFmtId="0">
      <sharedItems containsBlank="1" count="4">
        <s v="Weatherization"/>
        <s v="Weatherization &amp; Electrification"/>
        <s v="Electrification"/>
        <m/>
      </sharedItems>
    </cacheField>
    <cacheField name="Energy Source" numFmtId="0">
      <sharedItems containsBlank="1" count="6">
        <s v="Oil"/>
        <s v="Electricity"/>
        <s v="Propane"/>
        <s v="Natural Gas"/>
        <s v="Diesel"/>
        <m/>
      </sharedItems>
    </cacheField>
    <cacheField name="Input Energy Savings" numFmtId="0">
      <sharedItems containsString="0" containsBlank="1" containsNumber="1" containsInteger="1" minValue="20" maxValue="600"/>
    </cacheField>
    <cacheField name="Unit" numFmtId="0">
      <sharedItems count="4">
        <s v="Gallons"/>
        <s v="kWh"/>
        <s v="Therms"/>
        <s v=""/>
      </sharedItems>
    </cacheField>
    <cacheField name="Emission Factor" numFmtId="0">
      <sharedItems containsMixedTypes="1" containsNumber="1" minValue="2.7080961343821001E-4" maxValue="1.0242680000000001E-2"/>
    </cacheField>
    <cacheField name="EF Units" numFmtId="0">
      <sharedItems/>
    </cacheField>
    <cacheField name="GHG Emission Savings" numFmtId="0">
      <sharedItems containsMixedTypes="1" containsNumber="1" minValue="8.1242884031463E-2" maxValue="2.1245746588693959"/>
    </cacheField>
    <cacheField name="Emission Savings Units" numFmtId="0">
      <sharedItems/>
    </cacheField>
    <cacheField name="Utility Savings" numFmtId="168">
      <sharedItems containsMixedTypes="1" containsNumber="1" minValue="42.000000000000007" maxValue="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x v="0"/>
    <x v="0"/>
    <n v="50"/>
    <x v="0"/>
    <n v="1.0242680000000001E-2"/>
    <s v="MT/Gallon"/>
    <n v="0.51213399999999998"/>
    <s v="Metric Tons"/>
    <n v="206.5"/>
  </r>
  <r>
    <x v="1"/>
    <x v="1"/>
    <x v="1"/>
    <x v="1"/>
    <x v="1"/>
    <n v="600"/>
    <x v="1"/>
    <n v="2.7080961343821001E-4"/>
    <s v="MT/kWh"/>
    <n v="0.162485768062926"/>
    <s v="Metric Tons"/>
    <n v="84.000000000000014"/>
  </r>
  <r>
    <x v="2"/>
    <x v="0"/>
    <x v="1"/>
    <x v="2"/>
    <x v="2"/>
    <n v="30"/>
    <x v="0"/>
    <n v="5.7408100000000007E-3"/>
    <s v="MT/Gallon"/>
    <n v="0.17222430000000002"/>
    <s v="Metric Tons"/>
    <n v="187.20000000000002"/>
  </r>
  <r>
    <x v="3"/>
    <x v="1"/>
    <x v="1"/>
    <x v="2"/>
    <x v="1"/>
    <n v="540"/>
    <x v="1"/>
    <n v="2.7080961343821001E-4"/>
    <s v="MT/kWh"/>
    <n v="0.1462371912566334"/>
    <s v="Metric Tons"/>
    <n v="75.600000000000009"/>
  </r>
  <r>
    <x v="4"/>
    <x v="0"/>
    <x v="0"/>
    <x v="2"/>
    <x v="3"/>
    <n v="300"/>
    <x v="2"/>
    <n v="5.3114366471734894E-3"/>
    <s v="MT/Therm"/>
    <n v="1.5934309941520468"/>
    <s v="Metric Tons"/>
    <n v="360"/>
  </r>
  <r>
    <x v="5"/>
    <x v="0"/>
    <x v="0"/>
    <x v="2"/>
    <x v="4"/>
    <n v="30"/>
    <x v="0"/>
    <n v="1.0242680000000001E-2"/>
    <s v="MT/Gallon"/>
    <n v="0.30728040000000001"/>
    <s v="Metric Tons"/>
    <n v="145.80000000000001"/>
  </r>
  <r>
    <x v="6"/>
    <x v="0"/>
    <x v="0"/>
    <x v="2"/>
    <x v="1"/>
    <n v="300"/>
    <x v="1"/>
    <n v="2.7080961343821001E-4"/>
    <s v="MT/kWh"/>
    <n v="8.1242884031463E-2"/>
    <s v="Metric Tons"/>
    <n v="42.000000000000007"/>
  </r>
  <r>
    <x v="7"/>
    <x v="1"/>
    <x v="0"/>
    <x v="2"/>
    <x v="0"/>
    <n v="40"/>
    <x v="0"/>
    <n v="1.0242680000000001E-2"/>
    <s v="MT/Gallon"/>
    <n v="0.40970720000000005"/>
    <s v="Metric Tons"/>
    <n v="165.2"/>
  </r>
  <r>
    <x v="8"/>
    <x v="1"/>
    <x v="0"/>
    <x v="2"/>
    <x v="2"/>
    <n v="70"/>
    <x v="0"/>
    <n v="5.7408100000000007E-3"/>
    <s v="MT/Gallon"/>
    <n v="0.40185670000000007"/>
    <s v="Metric Tons"/>
    <n v="436.8"/>
  </r>
  <r>
    <x v="9"/>
    <x v="1"/>
    <x v="0"/>
    <x v="2"/>
    <x v="3"/>
    <n v="400"/>
    <x v="2"/>
    <n v="5.3114366471734894E-3"/>
    <s v="MT/Therm"/>
    <n v="2.1245746588693959"/>
    <s v="Metric Tons"/>
    <n v="480"/>
  </r>
  <r>
    <x v="10"/>
    <x v="1"/>
    <x v="0"/>
    <x v="2"/>
    <x v="4"/>
    <n v="20"/>
    <x v="0"/>
    <n v="1.0242680000000001E-2"/>
    <s v="MT/Gallon"/>
    <n v="0.20485360000000002"/>
    <s v="Metric Tons"/>
    <n v="97.2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  <r>
    <x v="11"/>
    <x v="2"/>
    <x v="2"/>
    <x v="3"/>
    <x v="5"/>
    <m/>
    <x v="3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0FFBA-3ED5-4C47-9C3D-C03A10BC2000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nties">
  <location ref="B11:M16" firstHeaderRow="1" firstDataRow="3" firstDataCol="1"/>
  <pivotFields count="12"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axis="axisCol" showAll="0">
      <items count="7">
        <item x="1"/>
        <item x="0"/>
        <item x="2"/>
        <item x="5"/>
        <item x="3"/>
        <item x="4"/>
        <item t="default"/>
      </items>
    </pivotField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2">
    <field x="4"/>
    <field x="6"/>
  </colFields>
  <colItems count="11">
    <i>
      <x/>
      <x v="2"/>
    </i>
    <i t="default">
      <x/>
    </i>
    <i>
      <x v="1"/>
      <x v="1"/>
    </i>
    <i t="default">
      <x v="1"/>
    </i>
    <i>
      <x v="2"/>
      <x v="1"/>
    </i>
    <i t="default">
      <x v="2"/>
    </i>
    <i>
      <x v="4"/>
      <x v="3"/>
    </i>
    <i t="default">
      <x v="4"/>
    </i>
    <i>
      <x v="5"/>
      <x v="1"/>
    </i>
    <i t="default">
      <x v="5"/>
    </i>
    <i t="grand">
      <x/>
    </i>
  </colItems>
  <dataFields count="1">
    <dataField name="Sum of Input Energy Savings" fld="5" baseField="0" baseItem="0"/>
  </dataFields>
  <formats count="49">
    <format dxfId="871">
      <pivotArea type="all" dataOnly="0" outline="0" fieldPosition="0"/>
    </format>
    <format dxfId="872">
      <pivotArea outline="0" collapsedLevelsAreSubtotals="1" fieldPosition="0"/>
    </format>
    <format dxfId="873">
      <pivotArea type="origin" dataOnly="0" labelOnly="1" outline="0" fieldPosition="0"/>
    </format>
    <format dxfId="874">
      <pivotArea field="4" type="button" dataOnly="0" labelOnly="1" outline="0" axis="axisCol" fieldPosition="0"/>
    </format>
    <format dxfId="875">
      <pivotArea field="6" type="button" dataOnly="0" labelOnly="1" outline="0" axis="axisCol" fieldPosition="1"/>
    </format>
    <format dxfId="876">
      <pivotArea type="topRight" dataOnly="0" labelOnly="1" outline="0" fieldPosition="0"/>
    </format>
    <format dxfId="877">
      <pivotArea field="1" type="button" dataOnly="0" labelOnly="1" outline="0" axis="axisRow" fieldPosition="0"/>
    </format>
    <format dxfId="878">
      <pivotArea dataOnly="0" labelOnly="1" fieldPosition="0">
        <references count="1">
          <reference field="1" count="0"/>
        </references>
      </pivotArea>
    </format>
    <format dxfId="879">
      <pivotArea dataOnly="0" labelOnly="1" grandRow="1" outline="0" fieldPosition="0"/>
    </format>
    <format dxfId="880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881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882">
      <pivotArea dataOnly="0" labelOnly="1" grandCol="1" outline="0" fieldPosition="0"/>
    </format>
    <format dxfId="883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884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885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886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887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888">
      <pivotArea type="origin" dataOnly="0" labelOnly="1" outline="0" fieldPosition="0"/>
    </format>
    <format dxfId="889">
      <pivotArea field="4" type="button" dataOnly="0" labelOnly="1" outline="0" axis="axisCol" fieldPosition="0"/>
    </format>
    <format dxfId="890">
      <pivotArea field="6" type="button" dataOnly="0" labelOnly="1" outline="0" axis="axisCol" fieldPosition="1"/>
    </format>
    <format dxfId="891">
      <pivotArea type="topRight" dataOnly="0" labelOnly="1" outline="0" fieldPosition="0"/>
    </format>
    <format dxfId="892">
      <pivotArea field="1" type="button" dataOnly="0" labelOnly="1" outline="0" axis="axisRow" fieldPosition="0"/>
    </format>
    <format dxfId="893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894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895">
      <pivotArea dataOnly="0" labelOnly="1" grandCol="1" outline="0" fieldPosition="0"/>
    </format>
    <format dxfId="896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897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898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899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900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901">
      <pivotArea grandRow="1" outline="0" collapsedLevelsAreSubtotals="1" fieldPosition="0"/>
    </format>
    <format dxfId="902">
      <pivotArea dataOnly="0" labelOnly="1" grandRow="1" outline="0" fieldPosition="0"/>
    </format>
    <format dxfId="870">
      <pivotArea type="all" dataOnly="0" outline="0" fieldPosition="0"/>
    </format>
    <format dxfId="869">
      <pivotArea outline="0" collapsedLevelsAreSubtotals="1" fieldPosition="0"/>
    </format>
    <format dxfId="868">
      <pivotArea type="origin" dataOnly="0" labelOnly="1" outline="0" fieldPosition="0"/>
    </format>
    <format dxfId="867">
      <pivotArea field="4" type="button" dataOnly="0" labelOnly="1" outline="0" axis="axisCol" fieldPosition="0"/>
    </format>
    <format dxfId="866">
      <pivotArea field="6" type="button" dataOnly="0" labelOnly="1" outline="0" axis="axisCol" fieldPosition="1"/>
    </format>
    <format dxfId="865">
      <pivotArea type="topRight" dataOnly="0" labelOnly="1" outline="0" fieldPosition="0"/>
    </format>
    <format dxfId="864">
      <pivotArea field="1" type="button" dataOnly="0" labelOnly="1" outline="0" axis="axisRow" fieldPosition="0"/>
    </format>
    <format dxfId="863">
      <pivotArea dataOnly="0" labelOnly="1" fieldPosition="0">
        <references count="1">
          <reference field="1" count="0"/>
        </references>
      </pivotArea>
    </format>
    <format dxfId="862">
      <pivotArea dataOnly="0" labelOnly="1" grandRow="1" outline="0" fieldPosition="0"/>
    </format>
    <format dxfId="861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860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859">
      <pivotArea dataOnly="0" labelOnly="1" grandCol="1" outline="0" fieldPosition="0"/>
    </format>
    <format dxfId="858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857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856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855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854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</formats>
  <chartFormats count="1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4A783-FD88-A941-B5EE-CE18FD3EEBBC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unties">
  <location ref="J5:K8" firstHeaderRow="1" firstDataRow="1" firstDataCol="1"/>
  <pivotFields count="12"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GHG Emission Savings (MT)" fld="9" baseField="0" baseItem="0"/>
  </dataFields>
  <formats count="26">
    <format dxfId="965">
      <pivotArea type="all" dataOnly="0" outline="0" fieldPosition="0"/>
    </format>
    <format dxfId="964">
      <pivotArea outline="0" collapsedLevelsAreSubtotals="1" fieldPosition="0"/>
    </format>
    <format dxfId="963">
      <pivotArea field="1" type="button" dataOnly="0" labelOnly="1" outline="0" axis="axisRow" fieldPosition="0"/>
    </format>
    <format dxfId="962">
      <pivotArea dataOnly="0" labelOnly="1" fieldPosition="0">
        <references count="1">
          <reference field="1" count="0"/>
        </references>
      </pivotArea>
    </format>
    <format dxfId="961">
      <pivotArea dataOnly="0" labelOnly="1" grandRow="1" outline="0" fieldPosition="0"/>
    </format>
    <format dxfId="960">
      <pivotArea dataOnly="0" labelOnly="1" outline="0" axis="axisValues" fieldPosition="0"/>
    </format>
    <format dxfId="953">
      <pivotArea type="all" dataOnly="0" outline="0" fieldPosition="0"/>
    </format>
    <format dxfId="952">
      <pivotArea outline="0" collapsedLevelsAreSubtotals="1" fieldPosition="0"/>
    </format>
    <format dxfId="951">
      <pivotArea field="1" type="button" dataOnly="0" labelOnly="1" outline="0" axis="axisRow" fieldPosition="0"/>
    </format>
    <format dxfId="950">
      <pivotArea dataOnly="0" labelOnly="1" fieldPosition="0">
        <references count="1">
          <reference field="1" count="0"/>
        </references>
      </pivotArea>
    </format>
    <format dxfId="949">
      <pivotArea dataOnly="0" labelOnly="1" grandRow="1" outline="0" fieldPosition="0"/>
    </format>
    <format dxfId="948">
      <pivotArea dataOnly="0" labelOnly="1" outline="0" axis="axisValues" fieldPosition="0"/>
    </format>
    <format dxfId="935">
      <pivotArea type="all" dataOnly="0" outline="0" fieldPosition="0"/>
    </format>
    <format dxfId="934">
      <pivotArea outline="0" collapsedLevelsAreSubtotals="1" fieldPosition="0"/>
    </format>
    <format dxfId="933">
      <pivotArea field="1" type="button" dataOnly="0" labelOnly="1" outline="0" axis="axisRow" fieldPosition="0"/>
    </format>
    <format dxfId="932">
      <pivotArea dataOnly="0" labelOnly="1" fieldPosition="0">
        <references count="1">
          <reference field="1" count="0"/>
        </references>
      </pivotArea>
    </format>
    <format dxfId="931">
      <pivotArea dataOnly="0" labelOnly="1" grandRow="1" outline="0" fieldPosition="0"/>
    </format>
    <format dxfId="930">
      <pivotArea dataOnly="0" labelOnly="1" outline="0" axis="axisValues" fieldPosition="0"/>
    </format>
    <format dxfId="929">
      <pivotArea collapsedLevelsAreSubtotals="1" fieldPosition="0">
        <references count="1">
          <reference field="1" count="0"/>
        </references>
      </pivotArea>
    </format>
    <format dxfId="927">
      <pivotArea grandRow="1" outline="0" collapsedLevelsAreSubtotals="1" fieldPosition="0"/>
    </format>
    <format dxfId="853">
      <pivotArea type="all" dataOnly="0" outline="0" fieldPosition="0"/>
    </format>
    <format dxfId="852">
      <pivotArea outline="0" collapsedLevelsAreSubtotals="1" fieldPosition="0"/>
    </format>
    <format dxfId="851">
      <pivotArea field="1" type="button" dataOnly="0" labelOnly="1" outline="0" axis="axisRow" fieldPosition="0"/>
    </format>
    <format dxfId="850">
      <pivotArea dataOnly="0" labelOnly="1" fieldPosition="0">
        <references count="1">
          <reference field="1" count="0"/>
        </references>
      </pivotArea>
    </format>
    <format dxfId="849">
      <pivotArea dataOnly="0" labelOnly="1" grandRow="1" outline="0" fieldPosition="0"/>
    </format>
    <format dxfId="84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3EA5A-9C1B-5547-A3B1-8428C97D0E11}" name="Cost Savings Per County" cacheId="26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8" rowHeaderCaption="Counties">
  <location ref="D5:E8" firstHeaderRow="1" firstDataRow="1" firstDataCol="1"/>
  <pivotFields count="12">
    <pivotField showAll="0"/>
    <pivotField axis="axisRow" showAll="0" defaultSubtotal="0">
      <items count="3">
        <item x="1"/>
        <item x="0"/>
        <item h="1"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 Utility Savings" fld="11" baseField="0" baseItem="0"/>
  </dataFields>
  <formats count="25">
    <format dxfId="959">
      <pivotArea type="all" dataOnly="0" outline="0" fieldPosition="0"/>
    </format>
    <format dxfId="958">
      <pivotArea outline="0" collapsedLevelsAreSubtotals="1" fieldPosition="0"/>
    </format>
    <format dxfId="957">
      <pivotArea field="1" type="button" dataOnly="0" labelOnly="1" outline="0" axis="axisRow" fieldPosition="0"/>
    </format>
    <format dxfId="956">
      <pivotArea dataOnly="0" labelOnly="1" fieldPosition="0">
        <references count="1">
          <reference field="1" count="0"/>
        </references>
      </pivotArea>
    </format>
    <format dxfId="955">
      <pivotArea dataOnly="0" labelOnly="1" grandRow="1" outline="0" fieldPosition="0"/>
    </format>
    <format dxfId="954">
      <pivotArea dataOnly="0" labelOnly="1" outline="0" axis="axisValues" fieldPosition="0"/>
    </format>
    <format dxfId="947">
      <pivotArea type="all" dataOnly="0" outline="0" fieldPosition="0"/>
    </format>
    <format dxfId="946">
      <pivotArea outline="0" collapsedLevelsAreSubtotals="1" fieldPosition="0"/>
    </format>
    <format dxfId="945">
      <pivotArea field="1" type="button" dataOnly="0" labelOnly="1" outline="0" axis="axisRow" fieldPosition="0"/>
    </format>
    <format dxfId="944">
      <pivotArea dataOnly="0" labelOnly="1" fieldPosition="0">
        <references count="1">
          <reference field="1" count="0"/>
        </references>
      </pivotArea>
    </format>
    <format dxfId="943">
      <pivotArea dataOnly="0" labelOnly="1" grandRow="1" outline="0" fieldPosition="0"/>
    </format>
    <format dxfId="942">
      <pivotArea dataOnly="0" labelOnly="1" outline="0" axis="axisValues" fieldPosition="0"/>
    </format>
    <format dxfId="941">
      <pivotArea type="all" dataOnly="0" outline="0" fieldPosition="0"/>
    </format>
    <format dxfId="940">
      <pivotArea outline="0" collapsedLevelsAreSubtotals="1" fieldPosition="0"/>
    </format>
    <format dxfId="939">
      <pivotArea field="1" type="button" dataOnly="0" labelOnly="1" outline="0" axis="axisRow" fieldPosition="0"/>
    </format>
    <format dxfId="938">
      <pivotArea dataOnly="0" labelOnly="1" fieldPosition="0">
        <references count="1">
          <reference field="1" count="0"/>
        </references>
      </pivotArea>
    </format>
    <format dxfId="937">
      <pivotArea dataOnly="0" labelOnly="1" grandRow="1" outline="0" fieldPosition="0"/>
    </format>
    <format dxfId="936">
      <pivotArea dataOnly="0" labelOnly="1" outline="0" axis="axisValues" fieldPosition="0"/>
    </format>
    <format dxfId="928">
      <pivotArea grandRow="1" outline="0" collapsedLevelsAreSubtotals="1" fieldPosition="0"/>
    </format>
    <format dxfId="847">
      <pivotArea type="all" dataOnly="0" outline="0" fieldPosition="0"/>
    </format>
    <format dxfId="846">
      <pivotArea outline="0" collapsedLevelsAreSubtotals="1" fieldPosition="0"/>
    </format>
    <format dxfId="845">
      <pivotArea field="1" type="button" dataOnly="0" labelOnly="1" outline="0" axis="axisRow" fieldPosition="0"/>
    </format>
    <format dxfId="844">
      <pivotArea dataOnly="0" labelOnly="1" fieldPosition="0">
        <references count="1">
          <reference field="1" count="0"/>
        </references>
      </pivotArea>
    </format>
    <format dxfId="843">
      <pivotArea dataOnly="0" labelOnly="1" grandRow="1" outline="0" fieldPosition="0"/>
    </format>
    <format dxfId="842">
      <pivotArea dataOnly="0" labelOnly="1" outline="0" axis="axisValues" fieldPosition="0"/>
    </format>
  </format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AFF3F-5921-9A4E-95C6-3DAA738D918E}" name="Cost Savings Per County" cacheId="26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9" rowHeaderCaption="Programs">
  <location ref="D5:E8" firstHeaderRow="1" firstDataRow="1" firstDataCol="1"/>
  <pivotFields count="12">
    <pivotField showAll="0"/>
    <pivotField showAll="0" defaultSubtotal="0">
      <items count="3">
        <item x="1"/>
        <item x="0"/>
        <item h="1" x="2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Utility Savings" fld="11" baseField="0" baseItem="0"/>
  </dataFields>
  <formats count="17">
    <format dxfId="831">
      <pivotArea type="all" dataOnly="0" outline="0" fieldPosition="0"/>
    </format>
    <format dxfId="832">
      <pivotArea outline="0" collapsedLevelsAreSubtotals="1" fieldPosition="0"/>
    </format>
    <format dxfId="833">
      <pivotArea field="1" type="button" dataOnly="0" labelOnly="1" outline="0"/>
    </format>
    <format dxfId="834">
      <pivotArea dataOnly="0" labelOnly="1" grandRow="1" outline="0" fieldPosition="0"/>
    </format>
    <format dxfId="835">
      <pivotArea dataOnly="0" labelOnly="1" outline="0" axis="axisValues" fieldPosition="0"/>
    </format>
    <format dxfId="836">
      <pivotArea type="all" dataOnly="0" outline="0" fieldPosition="0"/>
    </format>
    <format dxfId="837">
      <pivotArea outline="0" collapsedLevelsAreSubtotals="1" fieldPosition="0"/>
    </format>
    <format dxfId="838">
      <pivotArea field="1" type="button" dataOnly="0" labelOnly="1" outline="0"/>
    </format>
    <format dxfId="839">
      <pivotArea dataOnly="0" labelOnly="1" grandRow="1" outline="0" fieldPosition="0"/>
    </format>
    <format dxfId="840">
      <pivotArea dataOnly="0" labelOnly="1" outline="0" axis="axisValues" fieldPosition="0"/>
    </format>
    <format dxfId="841">
      <pivotArea grandRow="1" outline="0" collapsedLevelsAreSubtotals="1" fieldPosition="0"/>
    </format>
    <format dxfId="767">
      <pivotArea type="all" dataOnly="0" outline="0" fieldPosition="0"/>
    </format>
    <format dxfId="766">
      <pivotArea outline="0" collapsedLevelsAreSubtotals="1" fieldPosition="0"/>
    </format>
    <format dxfId="765">
      <pivotArea field="2" type="button" dataOnly="0" labelOnly="1" outline="0" axis="axisRow" fieldPosition="0"/>
    </format>
    <format dxfId="764">
      <pivotArea dataOnly="0" labelOnly="1" fieldPosition="0">
        <references count="1">
          <reference field="2" count="0"/>
        </references>
      </pivotArea>
    </format>
    <format dxfId="763">
      <pivotArea dataOnly="0" labelOnly="1" grandRow="1" outline="0" fieldPosition="0"/>
    </format>
    <format dxfId="762">
      <pivotArea dataOnly="0" labelOnly="1" outline="0" axis="axisValues" fieldPosition="0"/>
    </format>
  </format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D98D5-5610-9C4E-94BC-DBB0F6231BA9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grams">
  <location ref="J5:K8" firstHeaderRow="1" firstDataRow="1" firstDataCol="1"/>
  <pivotFields count="12">
    <pivotField showAll="0"/>
    <pivotField showAll="0">
      <items count="4">
        <item x="1"/>
        <item x="0"/>
        <item h="1" x="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GHG Emission Savings (MT)" fld="9" baseField="0" baseItem="0"/>
  </dataFields>
  <formats count="17">
    <format dxfId="820">
      <pivotArea type="all" dataOnly="0" outline="0" fieldPosition="0"/>
    </format>
    <format dxfId="821">
      <pivotArea outline="0" collapsedLevelsAreSubtotals="1" fieldPosition="0"/>
    </format>
    <format dxfId="822">
      <pivotArea field="1" type="button" dataOnly="0" labelOnly="1" outline="0"/>
    </format>
    <format dxfId="823">
      <pivotArea dataOnly="0" labelOnly="1" grandRow="1" outline="0" fieldPosition="0"/>
    </format>
    <format dxfId="824">
      <pivotArea dataOnly="0" labelOnly="1" outline="0" axis="axisValues" fieldPosition="0"/>
    </format>
    <format dxfId="825">
      <pivotArea type="all" dataOnly="0" outline="0" fieldPosition="0"/>
    </format>
    <format dxfId="826">
      <pivotArea outline="0" collapsedLevelsAreSubtotals="1" fieldPosition="0"/>
    </format>
    <format dxfId="827">
      <pivotArea field="1" type="button" dataOnly="0" labelOnly="1" outline="0"/>
    </format>
    <format dxfId="828">
      <pivotArea dataOnly="0" labelOnly="1" grandRow="1" outline="0" fieldPosition="0"/>
    </format>
    <format dxfId="829">
      <pivotArea dataOnly="0" labelOnly="1" outline="0" axis="axisValues" fieldPosition="0"/>
    </format>
    <format dxfId="830">
      <pivotArea grandRow="1" outline="0" collapsedLevelsAreSubtotals="1" fieldPosition="0"/>
    </format>
    <format dxfId="761">
      <pivotArea type="all" dataOnly="0" outline="0" fieldPosition="0"/>
    </format>
    <format dxfId="760">
      <pivotArea outline="0" collapsedLevelsAreSubtotals="1" fieldPosition="0"/>
    </format>
    <format dxfId="759">
      <pivotArea field="2" type="button" dataOnly="0" labelOnly="1" outline="0" axis="axisRow" fieldPosition="0"/>
    </format>
    <format dxfId="758">
      <pivotArea dataOnly="0" labelOnly="1" fieldPosition="0">
        <references count="1">
          <reference field="2" count="0"/>
        </references>
      </pivotArea>
    </format>
    <format dxfId="757">
      <pivotArea dataOnly="0" labelOnly="1" grandRow="1" outline="0" fieldPosition="0"/>
    </format>
    <format dxfId="75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BBFDC-5313-AC45-9E2F-00EADCB17EE4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Programs">
  <location ref="B13:M18" firstHeaderRow="1" firstDataRow="3" firstDataCol="1"/>
  <pivotFields count="12">
    <pivotField showAll="0"/>
    <pivotField showAll="0">
      <items count="4">
        <item x="1"/>
        <item x="0"/>
        <item h="1" x="2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axis="axisCol" showAll="0">
      <items count="7">
        <item x="1"/>
        <item x="0"/>
        <item x="2"/>
        <item x="5"/>
        <item x="3"/>
        <item x="4"/>
        <item t="default"/>
      </items>
    </pivotField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2">
    <field x="4"/>
    <field x="6"/>
  </colFields>
  <colItems count="11">
    <i>
      <x/>
      <x v="2"/>
    </i>
    <i t="default">
      <x/>
    </i>
    <i>
      <x v="1"/>
      <x v="1"/>
    </i>
    <i t="default">
      <x v="1"/>
    </i>
    <i>
      <x v="2"/>
      <x v="1"/>
    </i>
    <i t="default">
      <x v="2"/>
    </i>
    <i>
      <x v="4"/>
      <x v="3"/>
    </i>
    <i t="default">
      <x v="4"/>
    </i>
    <i>
      <x v="5"/>
      <x v="1"/>
    </i>
    <i t="default">
      <x v="5"/>
    </i>
    <i t="grand">
      <x/>
    </i>
  </colItems>
  <dataFields count="1">
    <dataField name="Sum of Input Energy Savings" fld="5" baseField="0" baseItem="0"/>
  </dataFields>
  <formats count="47">
    <format dxfId="819">
      <pivotArea type="all" dataOnly="0" outline="0" fieldPosition="0"/>
    </format>
    <format dxfId="818">
      <pivotArea outline="0" collapsedLevelsAreSubtotals="1" fieldPosition="0"/>
    </format>
    <format dxfId="817">
      <pivotArea type="origin" dataOnly="0" labelOnly="1" outline="0" fieldPosition="0"/>
    </format>
    <format dxfId="816">
      <pivotArea field="4" type="button" dataOnly="0" labelOnly="1" outline="0" axis="axisCol" fieldPosition="0"/>
    </format>
    <format dxfId="815">
      <pivotArea field="6" type="button" dataOnly="0" labelOnly="1" outline="0" axis="axisCol" fieldPosition="1"/>
    </format>
    <format dxfId="814">
      <pivotArea type="topRight" dataOnly="0" labelOnly="1" outline="0" fieldPosition="0"/>
    </format>
    <format dxfId="813">
      <pivotArea field="2" type="button" dataOnly="0" labelOnly="1" outline="0" axis="axisRow" fieldPosition="0"/>
    </format>
    <format dxfId="812">
      <pivotArea dataOnly="0" labelOnly="1" fieldPosition="0">
        <references count="1">
          <reference field="2" count="0"/>
        </references>
      </pivotArea>
    </format>
    <format dxfId="811">
      <pivotArea dataOnly="0" labelOnly="1" grandRow="1" outline="0" fieldPosition="0"/>
    </format>
    <format dxfId="810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809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808">
      <pivotArea dataOnly="0" labelOnly="1" grandCol="1" outline="0" fieldPosition="0"/>
    </format>
    <format dxfId="807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806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805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804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803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802">
      <pivotArea type="origin" dataOnly="0" labelOnly="1" outline="0" fieldPosition="0"/>
    </format>
    <format dxfId="801">
      <pivotArea field="4" type="button" dataOnly="0" labelOnly="1" outline="0" axis="axisCol" fieldPosition="0"/>
    </format>
    <format dxfId="800">
      <pivotArea field="6" type="button" dataOnly="0" labelOnly="1" outline="0" axis="axisCol" fieldPosition="1"/>
    </format>
    <format dxfId="799">
      <pivotArea type="topRight" dataOnly="0" labelOnly="1" outline="0" fieldPosition="0"/>
    </format>
    <format dxfId="798">
      <pivotArea field="2" type="button" dataOnly="0" labelOnly="1" outline="0" axis="axisRow" fieldPosition="0"/>
    </format>
    <format dxfId="797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796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795">
      <pivotArea dataOnly="0" labelOnly="1" grandCol="1" outline="0" fieldPosition="0"/>
    </format>
    <format dxfId="794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793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792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791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790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755">
      <pivotArea type="all" dataOnly="0" outline="0" fieldPosition="0"/>
    </format>
    <format dxfId="754">
      <pivotArea outline="0" collapsedLevelsAreSubtotals="1" fieldPosition="0"/>
    </format>
    <format dxfId="753">
      <pivotArea type="origin" dataOnly="0" labelOnly="1" outline="0" fieldPosition="0"/>
    </format>
    <format dxfId="752">
      <pivotArea field="4" type="button" dataOnly="0" labelOnly="1" outline="0" axis="axisCol" fieldPosition="0"/>
    </format>
    <format dxfId="751">
      <pivotArea field="6" type="button" dataOnly="0" labelOnly="1" outline="0" axis="axisCol" fieldPosition="1"/>
    </format>
    <format dxfId="750">
      <pivotArea type="topRight" dataOnly="0" labelOnly="1" outline="0" fieldPosition="0"/>
    </format>
    <format dxfId="749">
      <pivotArea field="2" type="button" dataOnly="0" labelOnly="1" outline="0" axis="axisRow" fieldPosition="0"/>
    </format>
    <format dxfId="748">
      <pivotArea dataOnly="0" labelOnly="1" fieldPosition="0">
        <references count="1">
          <reference field="2" count="0"/>
        </references>
      </pivotArea>
    </format>
    <format dxfId="747">
      <pivotArea dataOnly="0" labelOnly="1" grandRow="1" outline="0" fieldPosition="0"/>
    </format>
    <format dxfId="746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745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744">
      <pivotArea dataOnly="0" labelOnly="1" grandCol="1" outline="0" fieldPosition="0"/>
    </format>
    <format dxfId="743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742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741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740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739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</formats>
  <chartFormats count="2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4" format="21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7" format="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7" format="2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7" format="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7" format="3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7" format="32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7" format="3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F52B8-9EEB-644B-B00B-BC81D057ACFD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ject Types">
  <location ref="B13:M19" firstHeaderRow="1" firstDataRow="3" firstDataCol="1"/>
  <pivotFields count="12">
    <pivotField showAll="0"/>
    <pivotField showAll="0">
      <items count="4">
        <item x="1"/>
        <item x="0"/>
        <item h="1" x="2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axis="axisCol" showAll="0">
      <items count="7">
        <item x="1"/>
        <item x="0"/>
        <item x="2"/>
        <item x="5"/>
        <item x="3"/>
        <item x="4"/>
        <item t="default"/>
      </items>
    </pivotField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4"/>
    <field x="6"/>
  </colFields>
  <colItems count="11">
    <i>
      <x/>
      <x v="2"/>
    </i>
    <i t="default">
      <x/>
    </i>
    <i>
      <x v="1"/>
      <x v="1"/>
    </i>
    <i t="default">
      <x v="1"/>
    </i>
    <i>
      <x v="2"/>
      <x v="1"/>
    </i>
    <i t="default">
      <x v="2"/>
    </i>
    <i>
      <x v="4"/>
      <x v="3"/>
    </i>
    <i t="default">
      <x v="4"/>
    </i>
    <i>
      <x v="5"/>
      <x v="1"/>
    </i>
    <i t="default">
      <x v="5"/>
    </i>
    <i t="grand">
      <x/>
    </i>
  </colItems>
  <dataFields count="1">
    <dataField name="Sum of Input Energy Savings" fld="5" baseField="0" baseItem="0"/>
  </dataFields>
  <formats count="32">
    <format dxfId="241">
      <pivotArea type="all" dataOnly="0" outline="0" fieldPosition="0"/>
    </format>
    <format dxfId="223">
      <pivotArea outline="0" collapsedLevelsAreSubtotals="1" fieldPosition="0"/>
    </format>
    <format dxfId="222">
      <pivotArea type="origin" dataOnly="0" labelOnly="1" outline="0" fieldPosition="0"/>
    </format>
    <format dxfId="221">
      <pivotArea field="4" type="button" dataOnly="0" labelOnly="1" outline="0" axis="axisCol" fieldPosition="0"/>
    </format>
    <format dxfId="220">
      <pivotArea field="6" type="button" dataOnly="0" labelOnly="1" outline="0" axis="axisCol" fieldPosition="1"/>
    </format>
    <format dxfId="219">
      <pivotArea type="topRight" dataOnly="0" labelOnly="1" outline="0" fieldPosition="0"/>
    </format>
    <format dxfId="218">
      <pivotArea field="3" type="button" dataOnly="0" labelOnly="1" outline="0" axis="axisRow" fieldPosition="0"/>
    </format>
    <format dxfId="217">
      <pivotArea dataOnly="0" labelOnly="1" fieldPosition="0">
        <references count="1">
          <reference field="3" count="0"/>
        </references>
      </pivotArea>
    </format>
    <format dxfId="216">
      <pivotArea dataOnly="0" labelOnly="1" grandRow="1" outline="0" fieldPosition="0"/>
    </format>
    <format dxfId="215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214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213">
      <pivotArea dataOnly="0" labelOnly="1" grandCol="1" outline="0" fieldPosition="0"/>
    </format>
    <format dxfId="212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211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210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209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208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207">
      <pivotArea type="origin" dataOnly="0" labelOnly="1" outline="0" fieldPosition="0"/>
    </format>
    <format dxfId="206">
      <pivotArea field="4" type="button" dataOnly="0" labelOnly="1" outline="0" axis="axisCol" fieldPosition="0"/>
    </format>
    <format dxfId="205">
      <pivotArea field="6" type="button" dataOnly="0" labelOnly="1" outline="0" axis="axisCol" fieldPosition="1"/>
    </format>
    <format dxfId="204">
      <pivotArea type="topRight" dataOnly="0" labelOnly="1" outline="0" fieldPosition="0"/>
    </format>
    <format dxfId="203">
      <pivotArea field="3" type="button" dataOnly="0" labelOnly="1" outline="0" axis="axisRow" fieldPosition="0"/>
    </format>
    <format dxfId="202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201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200">
      <pivotArea dataOnly="0" labelOnly="1" grandCol="1" outline="0" fieldPosition="0"/>
    </format>
    <format dxfId="199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198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197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196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195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194">
      <pivotArea grandRow="1" outline="0" collapsedLevelsAreSubtotals="1" fieldPosition="0"/>
    </format>
    <format dxfId="193">
      <pivotArea dataOnly="0" labelOnly="1" grandRow="1" outline="0" fieldPosition="0"/>
    </format>
  </formats>
  <chartFormats count="2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7" format="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7" format="2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7" format="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7" format="3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7" format="3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7" format="3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9" format="4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9" format="4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9" format="4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9" format="4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9" format="4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BE5EE-0519-1D4B-A6EC-D1E4AF470F7C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ject Types">
  <location ref="J5:K9" firstHeaderRow="1" firstDataRow="1" firstDataCol="1"/>
  <pivotFields count="12">
    <pivotField showAll="0"/>
    <pivotField showAll="0">
      <items count="4">
        <item x="1"/>
        <item x="0"/>
        <item h="1" x="2"/>
        <item t="default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HG Emission Savings (MT)" fld="9" baseField="0" baseItem="0"/>
  </dataFields>
  <formats count="17">
    <format dxfId="779">
      <pivotArea type="all" dataOnly="0" outline="0" fieldPosition="0"/>
    </format>
    <format dxfId="780">
      <pivotArea outline="0" collapsedLevelsAreSubtotals="1" fieldPosition="0"/>
    </format>
    <format dxfId="781">
      <pivotArea field="1" type="button" dataOnly="0" labelOnly="1" outline="0"/>
    </format>
    <format dxfId="782">
      <pivotArea dataOnly="0" labelOnly="1" grandRow="1" outline="0" fieldPosition="0"/>
    </format>
    <format dxfId="783">
      <pivotArea dataOnly="0" labelOnly="1" outline="0" axis="axisValues" fieldPosition="0"/>
    </format>
    <format dxfId="784">
      <pivotArea type="all" dataOnly="0" outline="0" fieldPosition="0"/>
    </format>
    <format dxfId="785">
      <pivotArea outline="0" collapsedLevelsAreSubtotals="1" fieldPosition="0"/>
    </format>
    <format dxfId="786">
      <pivotArea field="1" type="button" dataOnly="0" labelOnly="1" outline="0"/>
    </format>
    <format dxfId="787">
      <pivotArea dataOnly="0" labelOnly="1" grandRow="1" outline="0" fieldPosition="0"/>
    </format>
    <format dxfId="788">
      <pivotArea dataOnly="0" labelOnly="1" outline="0" axis="axisValues" fieldPosition="0"/>
    </format>
    <format dxfId="789">
      <pivotArea grandRow="1" outline="0" collapsedLevelsAreSubtotals="1" fieldPosition="0"/>
    </format>
    <format dxfId="677">
      <pivotArea type="all" dataOnly="0" outline="0" fieldPosition="0"/>
    </format>
    <format dxfId="666">
      <pivotArea outline="0" collapsedLevelsAreSubtotals="1" fieldPosition="0"/>
    </format>
    <format dxfId="665">
      <pivotArea field="3" type="button" dataOnly="0" labelOnly="1" outline="0" axis="axisRow" fieldPosition="0"/>
    </format>
    <format dxfId="664">
      <pivotArea dataOnly="0" labelOnly="1" fieldPosition="0">
        <references count="1">
          <reference field="3" count="0"/>
        </references>
      </pivotArea>
    </format>
    <format dxfId="663">
      <pivotArea dataOnly="0" labelOnly="1" grandRow="1" outline="0" fieldPosition="0"/>
    </format>
    <format dxfId="66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2B55D-2D6D-D249-87F2-91DB246DA9F8}" name="Cost Savings Per County" cacheId="26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11" rowHeaderCaption="Project Types">
  <location ref="D5:E9" firstHeaderRow="1" firstDataRow="1" firstDataCol="1"/>
  <pivotFields count="12">
    <pivotField showAll="0"/>
    <pivotField showAll="0" defaultSubtotal="0">
      <items count="3">
        <item x="1"/>
        <item x="0"/>
        <item h="1" x="2"/>
      </items>
    </pivotField>
    <pivotField showAll="0">
      <items count="4">
        <item x="0"/>
        <item x="1"/>
        <item h="1" x="2"/>
        <item t="default"/>
      </items>
    </pivotField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Utility Savings" fld="11" baseField="0" baseItem="0"/>
  </dataFields>
  <formats count="17">
    <format dxfId="768">
      <pivotArea type="all" dataOnly="0" outline="0" fieldPosition="0"/>
    </format>
    <format dxfId="769">
      <pivotArea outline="0" collapsedLevelsAreSubtotals="1" fieldPosition="0"/>
    </format>
    <format dxfId="770">
      <pivotArea field="1" type="button" dataOnly="0" labelOnly="1" outline="0"/>
    </format>
    <format dxfId="771">
      <pivotArea dataOnly="0" labelOnly="1" grandRow="1" outline="0" fieldPosition="0"/>
    </format>
    <format dxfId="772">
      <pivotArea dataOnly="0" labelOnly="1" outline="0" axis="axisValues" fieldPosition="0"/>
    </format>
    <format dxfId="773">
      <pivotArea type="all" dataOnly="0" outline="0" fieldPosition="0"/>
    </format>
    <format dxfId="774">
      <pivotArea outline="0" collapsedLevelsAreSubtotals="1" fieldPosition="0"/>
    </format>
    <format dxfId="775">
      <pivotArea field="1" type="button" dataOnly="0" labelOnly="1" outline="0"/>
    </format>
    <format dxfId="776">
      <pivotArea dataOnly="0" labelOnly="1" grandRow="1" outline="0" fieldPosition="0"/>
    </format>
    <format dxfId="777">
      <pivotArea dataOnly="0" labelOnly="1" outline="0" axis="axisValues" fieldPosition="0"/>
    </format>
    <format dxfId="778">
      <pivotArea grandRow="1" outline="0" collapsedLevelsAreSubtotals="1" fieldPosition="0"/>
    </format>
    <format dxfId="660">
      <pivotArea type="all" dataOnly="0" outline="0" fieldPosition="0"/>
    </format>
    <format dxfId="649">
      <pivotArea outline="0" collapsedLevelsAreSubtotals="1" fieldPosition="0"/>
    </format>
    <format dxfId="648">
      <pivotArea field="3" type="button" dataOnly="0" labelOnly="1" outline="0" axis="axisRow" fieldPosition="0"/>
    </format>
    <format dxfId="647">
      <pivotArea dataOnly="0" labelOnly="1" fieldPosition="0">
        <references count="1">
          <reference field="3" count="0"/>
        </references>
      </pivotArea>
    </format>
    <format dxfId="646">
      <pivotArea dataOnly="0" labelOnly="1" grandRow="1" outline="0" fieldPosition="0"/>
    </format>
    <format dxfId="645">
      <pivotArea dataOnly="0" labelOnly="1" outline="0" axis="axisValues" fieldPosition="0"/>
    </format>
  </formats>
  <chartFormats count="4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E12EF-37A4-9444-ADD1-4586984ECAA4}" name="Cost Savings Per County" cacheId="26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chartFormat="11" rowHeaderCaption="Project Types">
  <location ref="D6:D7" firstHeaderRow="1" firstDataRow="1" firstDataCol="0" rowPageCount="1" colPageCount="1"/>
  <pivotFields count="12">
    <pivotField axis="axisPage" multipleItemSelectionAllowed="1" showAll="0">
      <items count="13">
        <item x="4"/>
        <item x="3"/>
        <item x="8"/>
        <item x="5"/>
        <item x="2"/>
        <item x="6"/>
        <item x="0"/>
        <item x="1"/>
        <item x="10"/>
        <item x="7"/>
        <item x="9"/>
        <item h="1" x="11"/>
        <item t="default"/>
      </items>
    </pivotField>
    <pivotField showAll="0" defaultSubtotal="0">
      <items count="3">
        <item x="1"/>
        <item x="0"/>
        <item h="1" x="2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pageFields count="1">
    <pageField fld="0" hier="-1"/>
  </pageFields>
  <dataFields count="1">
    <dataField name="Total Utility Savings" fld="11" baseField="0" baseItem="0"/>
  </dataFields>
  <formats count="19">
    <format dxfId="595">
      <pivotArea type="all" dataOnly="0" outline="0" fieldPosition="0"/>
    </format>
    <format dxfId="596">
      <pivotArea outline="0" collapsedLevelsAreSubtotals="1" fieldPosition="0"/>
    </format>
    <format dxfId="597">
      <pivotArea field="1" type="button" dataOnly="0" labelOnly="1" outline="0"/>
    </format>
    <format dxfId="598">
      <pivotArea dataOnly="0" labelOnly="1" grandRow="1" outline="0" fieldPosition="0"/>
    </format>
    <format dxfId="599">
      <pivotArea dataOnly="0" labelOnly="1" outline="0" axis="axisValues" fieldPosition="0"/>
    </format>
    <format dxfId="600">
      <pivotArea type="all" dataOnly="0" outline="0" fieldPosition="0"/>
    </format>
    <format dxfId="601">
      <pivotArea outline="0" collapsedLevelsAreSubtotals="1" fieldPosition="0"/>
    </format>
    <format dxfId="602">
      <pivotArea field="1" type="button" dataOnly="0" labelOnly="1" outline="0"/>
    </format>
    <format dxfId="603">
      <pivotArea dataOnly="0" labelOnly="1" grandRow="1" outline="0" fieldPosition="0"/>
    </format>
    <format dxfId="604">
      <pivotArea dataOnly="0" labelOnly="1" outline="0" axis="axisValues" fieldPosition="0"/>
    </format>
    <format dxfId="605">
      <pivotArea grandRow="1" outline="0" collapsedLevelsAreSubtotals="1" fieldPosition="0"/>
    </format>
    <format dxfId="606">
      <pivotArea type="all" dataOnly="0" outline="0" fieldPosition="0"/>
    </format>
    <format dxfId="607">
      <pivotArea outline="0" collapsedLevelsAreSubtotals="1" fieldPosition="0"/>
    </format>
    <format dxfId="608">
      <pivotArea field="3" type="button" dataOnly="0" labelOnly="1" outline="0"/>
    </format>
    <format dxfId="609">
      <pivotArea dataOnly="0" labelOnly="1" grandRow="1" outline="0" fieldPosition="0"/>
    </format>
    <format dxfId="610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axis="axisValues" fieldPosition="0"/>
    </format>
  </formats>
  <chartFormats count="4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57F26-4A21-9C46-A944-4F13242D64BA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ject Types">
  <location ref="J6:J7" firstHeaderRow="1" firstDataRow="1" firstDataCol="0" rowPageCount="1" colPageCount="1"/>
  <pivotFields count="12">
    <pivotField axis="axisPage" multipleItemSelectionAllowed="1" showAll="0">
      <items count="13">
        <item x="4"/>
        <item x="3"/>
        <item x="8"/>
        <item x="5"/>
        <item x="2"/>
        <item x="6"/>
        <item x="0"/>
        <item x="1"/>
        <item x="10"/>
        <item x="7"/>
        <item x="9"/>
        <item h="1" x="1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pageFields count="1">
    <pageField fld="0" hier="-1"/>
  </pageFields>
  <dataFields count="1">
    <dataField name="Sum of GHG Emission Savings (MT)" fld="9" baseField="0" baseItem="0"/>
  </dataFields>
  <formats count="19">
    <format dxfId="628">
      <pivotArea type="all" dataOnly="0" outline="0" fieldPosition="0"/>
    </format>
    <format dxfId="629">
      <pivotArea outline="0" collapsedLevelsAreSubtotals="1" fieldPosition="0"/>
    </format>
    <format dxfId="630">
      <pivotArea field="1" type="button" dataOnly="0" labelOnly="1" outline="0"/>
    </format>
    <format dxfId="631">
      <pivotArea dataOnly="0" labelOnly="1" grandRow="1" outline="0" fieldPosition="0"/>
    </format>
    <format dxfId="632">
      <pivotArea dataOnly="0" labelOnly="1" outline="0" axis="axisValues" fieldPosition="0"/>
    </format>
    <format dxfId="633">
      <pivotArea type="all" dataOnly="0" outline="0" fieldPosition="0"/>
    </format>
    <format dxfId="634">
      <pivotArea outline="0" collapsedLevelsAreSubtotals="1" fieldPosition="0"/>
    </format>
    <format dxfId="635">
      <pivotArea field="1" type="button" dataOnly="0" labelOnly="1" outline="0"/>
    </format>
    <format dxfId="636">
      <pivotArea dataOnly="0" labelOnly="1" grandRow="1" outline="0" fieldPosition="0"/>
    </format>
    <format dxfId="637">
      <pivotArea dataOnly="0" labelOnly="1" outline="0" axis="axisValues" fieldPosition="0"/>
    </format>
    <format dxfId="638">
      <pivotArea grandRow="1" outline="0" collapsedLevelsAreSubtotals="1" fieldPosition="0"/>
    </format>
    <format dxfId="639">
      <pivotArea type="all" dataOnly="0" outline="0" fieldPosition="0"/>
    </format>
    <format dxfId="640">
      <pivotArea outline="0" collapsedLevelsAreSubtotals="1" fieldPosition="0"/>
    </format>
    <format dxfId="641">
      <pivotArea field="3" type="button" dataOnly="0" labelOnly="1" outline="0"/>
    </format>
    <format dxfId="642">
      <pivotArea dataOnly="0" labelOnly="1" grandRow="1" outline="0" fieldPosition="0"/>
    </format>
    <format dxfId="643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7A193-075B-EA43-97BC-A0C9C005B80A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ject Types">
  <location ref="B14:M17" firstHeaderRow="1" firstDataRow="3" firstDataCol="1" rowPageCount="1" colPageCount="1"/>
  <pivotFields count="12">
    <pivotField axis="axisPage" multipleItemSelectionAllowed="1" showAll="0">
      <items count="13">
        <item x="4"/>
        <item x="3"/>
        <item x="8"/>
        <item x="5"/>
        <item x="2"/>
        <item x="6"/>
        <item x="0"/>
        <item x="1"/>
        <item x="10"/>
        <item x="7"/>
        <item x="9"/>
        <item h="1" x="11"/>
        <item t="default"/>
      </items>
    </pivotField>
    <pivotField showAll="0">
      <items count="4">
        <item x="1"/>
        <item x="0"/>
        <item h="1" x="2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5">
        <item x="2"/>
        <item x="0"/>
        <item x="1"/>
        <item h="1" x="3"/>
        <item t="default"/>
      </items>
    </pivotField>
    <pivotField axis="axisCol" showAll="0">
      <items count="7">
        <item x="1"/>
        <item x="0"/>
        <item x="2"/>
        <item x="5"/>
        <item x="3"/>
        <item x="4"/>
        <item t="default"/>
      </items>
    </pivotField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Fields count="2">
    <field x="4"/>
    <field x="6"/>
  </colFields>
  <colItems count="11">
    <i>
      <x/>
      <x v="2"/>
    </i>
    <i t="default">
      <x/>
    </i>
    <i>
      <x v="1"/>
      <x v="1"/>
    </i>
    <i t="default">
      <x v="1"/>
    </i>
    <i>
      <x v="2"/>
      <x v="1"/>
    </i>
    <i t="default">
      <x v="2"/>
    </i>
    <i>
      <x v="4"/>
      <x v="3"/>
    </i>
    <i t="default">
      <x v="4"/>
    </i>
    <i>
      <x v="5"/>
      <x v="1"/>
    </i>
    <i t="default">
      <x v="5"/>
    </i>
    <i t="grand">
      <x/>
    </i>
  </colItems>
  <pageFields count="1">
    <pageField fld="0" hier="-1"/>
  </pageFields>
  <dataFields count="1">
    <dataField name="Sum of Input Energy Savings" fld="5" baseField="0" baseItem="0"/>
  </dataFields>
  <formats count="34">
    <format dxfId="147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offset="A1:A2" fieldPosition="0"/>
    </format>
    <format dxfId="128">
      <pivotArea dataOnly="0" labelOnly="1" outline="0" axis="axisValues" fieldPosition="0"/>
    </format>
    <format dxfId="127">
      <pivotArea field="4" type="button" dataOnly="0" labelOnly="1" outline="0" axis="axisCol" fieldPosition="0"/>
    </format>
    <format dxfId="126">
      <pivotArea field="6" type="button" dataOnly="0" labelOnly="1" outline="0" axis="axisCol" fieldPosition="1"/>
    </format>
    <format dxfId="125">
      <pivotArea type="topRight" dataOnly="0" labelOnly="1" outline="0" fieldPosition="0"/>
    </format>
    <format dxfId="124">
      <pivotArea type="origin" dataOnly="0" labelOnly="1" outline="0" offset="A3" fieldPosition="0"/>
    </format>
    <format dxfId="123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122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121">
      <pivotArea dataOnly="0" labelOnly="1" grandCol="1" outline="0" fieldPosition="0"/>
    </format>
    <format dxfId="120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119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118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117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116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  <format dxfId="115">
      <pivotArea outline="0" collapsedLevelsAreSubtotals="1" fieldPosition="0"/>
    </format>
    <format dxfId="114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offset="A1:A2" fieldPosition="0"/>
    </format>
    <format dxfId="12">
      <pivotArea dataOnly="0" labelOnly="1" outline="0" axis="axisValues" fieldPosition="0"/>
    </format>
    <format dxfId="11">
      <pivotArea field="4" type="button" dataOnly="0" labelOnly="1" outline="0" axis="axisCol" fieldPosition="0"/>
    </format>
    <format dxfId="10">
      <pivotArea field="6" type="button" dataOnly="0" labelOnly="1" outline="0" axis="axisCol" fieldPosition="1"/>
    </format>
    <format dxfId="9">
      <pivotArea type="topRight" dataOnly="0" labelOnly="1" outline="0" fieldPosition="0"/>
    </format>
    <format dxfId="8">
      <pivotArea type="origin" dataOnly="0" labelOnly="1" outline="0" offset="A3" fieldPosition="0"/>
    </format>
    <format dxfId="7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6">
      <pivotArea dataOnly="0" labelOnly="1" fieldPosition="0">
        <references count="1">
          <reference field="4" count="5" defaultSubtotal="1">
            <x v="0"/>
            <x v="1"/>
            <x v="2"/>
            <x v="4"/>
            <x v="5"/>
          </reference>
        </references>
      </pivotArea>
    </format>
    <format dxfId="5">
      <pivotArea dataOnly="0" labelOnly="1" grandCol="1" outline="0" fieldPosition="0"/>
    </format>
    <format dxfId="4">
      <pivotArea dataOnly="0" labelOnly="1" fieldPosition="0">
        <references count="2">
          <reference field="4" count="1" selected="0">
            <x v="0"/>
          </reference>
          <reference field="6" count="1">
            <x v="2"/>
          </reference>
        </references>
      </pivotArea>
    </format>
    <format dxfId="3">
      <pivotArea dataOnly="0" labelOnly="1" fieldPosition="0">
        <references count="2">
          <reference field="4" count="1" selected="0">
            <x v="1"/>
          </reference>
          <reference field="6" count="1">
            <x v="1"/>
          </reference>
        </references>
      </pivotArea>
    </format>
    <format dxfId="2">
      <pivotArea dataOnly="0" labelOnly="1" fieldPosition="0">
        <references count="2">
          <reference field="4" count="1" selected="0">
            <x v="2"/>
          </reference>
          <reference field="6" count="1">
            <x v="1"/>
          </reference>
        </references>
      </pivotArea>
    </format>
    <format dxfId="1">
      <pivotArea dataOnly="0" labelOnly="1" fieldPosition="0">
        <references count="2">
          <reference field="4" count="1" selected="0">
            <x v="4"/>
          </reference>
          <reference field="6" count="1">
            <x v="3"/>
          </reference>
        </references>
      </pivotArea>
    </format>
    <format dxfId="0">
      <pivotArea dataOnly="0" labelOnly="1" fieldPosition="0">
        <references count="2">
          <reference field="4" count="1" selected="0">
            <x v="5"/>
          </reference>
          <reference field="6" count="1">
            <x v="1"/>
          </reference>
        </references>
      </pivotArea>
    </format>
  </formats>
  <chartFormats count="28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1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4" format="1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4" format="1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4" format="1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4" format="1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4" format="2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7" format="2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7" format="2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7" format="3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7" format="3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7" format="3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7" format="3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9" format="4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9" format="4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9" format="4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9" format="4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9" format="4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1"/>
          </reference>
        </references>
      </pivotArea>
    </chartFormat>
    <chartFormat chart="9" format="4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0"/>
          </reference>
        </references>
      </pivotArea>
    </chartFormat>
    <chartFormat chart="9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6" count="1" selected="0">
            <x v="3"/>
          </reference>
        </references>
      </pivotArea>
    </chartFormat>
    <chartFormat chart="9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5E4EAB-7758-6546-A129-D7FFF1031CFF}" autoFormatId="16" applyNumberFormats="0" applyBorderFormats="0" applyFontFormats="0" applyPatternFormats="0" applyAlignmentFormats="0" applyWidthHeightFormats="0">
  <queryTableRefresh nextId="20">
    <queryTableFields count="19">
      <queryTableField id="1" name="Client" tableColumnId="1"/>
      <queryTableField id="2" name="County" tableColumnId="2"/>
      <queryTableField id="3" name="Funding Source" tableColumnId="3"/>
      <queryTableField id="4" name="Project Type" tableColumnId="4"/>
      <queryTableField id="5" name="Energy Source" tableColumnId="5"/>
      <queryTableField id="6" name="Energy Usage Before" tableColumnId="6"/>
      <queryTableField id="7" name="Energy Usage After" tableColumnId="7"/>
      <queryTableField id="8" name="Energy Savings" tableColumnId="8"/>
      <queryTableField id="9" name="Unit" tableColumnId="9"/>
      <queryTableField id="10" name="Emission Factor" tableColumnId="10"/>
      <queryTableField id="11" name="EF Units" tableColumnId="11"/>
      <queryTableField id="12" name="GHG Emission Savings" tableColumnId="12"/>
      <queryTableField id="13" name="Emission Savings Units" tableColumnId="13"/>
      <queryTableField id="14" name="Utility Savings" tableColumnId="14"/>
      <queryTableField id="15" name="Fuel Source" tableColumnId="15"/>
      <queryTableField id="16" name="Electricity Usage Before" tableColumnId="16"/>
      <queryTableField id="17" name="Solar Square Footage" tableColumnId="17"/>
      <queryTableField id="18" name="Solar Power Generated" tableColumnId="18"/>
      <queryTableField id="19" name="Input Energy Savings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BE938A6-D715-3C45-BD90-7A65DAD08D57}" autoFormatId="16" applyNumberFormats="0" applyBorderFormats="0" applyFontFormats="0" applyPatternFormats="0" applyAlignmentFormats="0" applyWidthHeightFormats="0">
  <queryTableRefresh nextId="20">
    <queryTableFields count="12">
      <queryTableField id="1" name="Client" tableColumnId="1"/>
      <queryTableField id="2" name="County" tableColumnId="2"/>
      <queryTableField id="3" name="Funding Source" tableColumnId="3"/>
      <queryTableField id="4" name="Project Type" tableColumnId="4"/>
      <queryTableField id="5" name="Energy Source" tableColumnId="5"/>
      <queryTableField id="6" name="Input Energy Savings" tableColumnId="6"/>
      <queryTableField id="7" name="Unit" tableColumnId="7"/>
      <queryTableField id="8" name="Emission Factor" tableColumnId="8"/>
      <queryTableField id="9" name="EF Units" tableColumnId="9"/>
      <queryTableField id="10" name="GHG Emission Savings" tableColumnId="10"/>
      <queryTableField id="11" name="Emission Savings Units" tableColumnId="11"/>
      <queryTableField id="12" name="Utility Saving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C82FF76-A878-1045-AB76-A1BE2FC44F2F}" autoFormatId="16" applyNumberFormats="0" applyBorderFormats="0" applyFontFormats="0" applyPatternFormats="0" applyAlignmentFormats="0" applyWidthHeightFormats="0">
  <queryTableRefresh nextId="16">
    <queryTableFields count="15">
      <queryTableField id="1" name="Client" tableColumnId="1"/>
      <queryTableField id="2" name="County" tableColumnId="2"/>
      <queryTableField id="3" name="Funding Source" tableColumnId="3"/>
      <queryTableField id="4" name="Project Type" tableColumnId="4"/>
      <queryTableField id="5" name="Fuel Source" tableColumnId="5"/>
      <queryTableField id="6" name="Electricity Usage Before" tableColumnId="6"/>
      <queryTableField id="7" name="Solar Square Footage" tableColumnId="7"/>
      <queryTableField id="8" name="Solar Power Generated" tableColumnId="8"/>
      <queryTableField id="9" name="Energy Savings" tableColumnId="9"/>
      <queryTableField id="10" name="Unit" tableColumnId="10"/>
      <queryTableField id="11" name="Emission Factor" tableColumnId="11"/>
      <queryTableField id="12" name="EF Units" tableColumnId="12"/>
      <queryTableField id="13" name="GHG Emission Savings" tableColumnId="13"/>
      <queryTableField id="14" name="Emission Savings Units" tableColumnId="14"/>
      <queryTableField id="15" name="Utility Savings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8E5484D-442C-584B-ADD3-717BC58985D2}" autoFormatId="16" applyNumberFormats="0" applyBorderFormats="0" applyFontFormats="0" applyPatternFormats="0" applyAlignmentFormats="0" applyWidthHeightFormats="0">
  <queryTableRefresh nextId="20">
    <queryTableFields count="14">
      <queryTableField id="1" name="Client" tableColumnId="1"/>
      <queryTableField id="2" name="County" tableColumnId="2"/>
      <queryTableField id="3" name="Funding Source" tableColumnId="3"/>
      <queryTableField id="4" name="Project Type" tableColumnId="4"/>
      <queryTableField id="5" name="Energy Source" tableColumnId="5"/>
      <queryTableField id="6" name="Energy Usage Before" tableColumnId="6"/>
      <queryTableField id="7" name="Energy Usage After" tableColumnId="7"/>
      <queryTableField id="8" name="Energy Savings" tableColumnId="8"/>
      <queryTableField id="9" name="Unit" tableColumnId="9"/>
      <queryTableField id="10" name="Emission Factor" tableColumnId="10"/>
      <queryTableField id="11" name="EF Units" tableColumnId="11"/>
      <queryTableField id="12" name="GHG Emission Savings" tableColumnId="12"/>
      <queryTableField id="13" name="Emission Savings Units" tableColumnId="13"/>
      <queryTableField id="14" name="Utility Savings" tableColumnId="1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52F673-6AAA-7F46-B211-721C8D677888}" name="EEAOP" displayName="EEAOP" ref="B3:O22" totalsRowShown="0">
  <autoFilter ref="B3:O22" xr:uid="{B852F673-6AAA-7F46-B211-721C8D677888}"/>
  <sortState xmlns:xlrd2="http://schemas.microsoft.com/office/spreadsheetml/2017/richdata2" ref="B4:L20">
    <sortCondition ref="B3:B20"/>
  </sortState>
  <tableColumns count="14">
    <tableColumn id="1" xr3:uid="{D019038C-A8B2-DE46-B6A6-A0A8EA2AA8C4}" name="Client"/>
    <tableColumn id="2" xr3:uid="{567F9FF3-AC84-C04E-BCA2-5C636D379690}" name="County" dataDxfId="986">
      <calculatedColumnFormula>IF(EEAOP[[#This Row],[Client]]&lt;&gt;"","Montgomery","")</calculatedColumnFormula>
    </tableColumn>
    <tableColumn id="3" xr3:uid="{F48D6214-C916-BB49-93DC-3B10D5CCC4EB}" name="Funding Source" dataDxfId="985">
      <calculatedColumnFormula>IF(EEAOP[[#This Row],[Client]]&lt;&gt;"","EEAOP","")</calculatedColumnFormula>
    </tableColumn>
    <tableColumn id="4" xr3:uid="{471E8619-AF8A-774D-8613-5AC3573FD762}" name="Project Type"/>
    <tableColumn id="5" xr3:uid="{7FF819E1-D468-FF4F-8F00-E2273D94917A}" name="Energy Source"/>
    <tableColumn id="6" xr3:uid="{40220BB6-E0BC-7C4B-9D70-160BF258AF53}" name="Energy Usage Before"/>
    <tableColumn id="7" xr3:uid="{EB015C2D-6426-2A4D-B599-E8550C682E5A}" name="Energy Usage After" dataDxfId="990"/>
    <tableColumn id="8" xr3:uid="{16E7F659-5191-684A-99AC-F8A2AC1FBC9E}" name="Energy Savings" dataDxfId="967">
      <calculatedColumnFormula xml:space="preserve"> IF(AND(EEAOP[[#This Row],[Energy Usage Before]]&lt;&gt;"",EEAOP[[#This Row],[Energy Usage After]]&lt;&gt;""), EEAOP[[#This Row],[Energy Usage Before]] - EEAOP[[#This Row],[Energy Usage After]], "")</calculatedColumnFormula>
    </tableColumn>
    <tableColumn id="9" xr3:uid="{B8658A1F-DC63-AE41-9FD5-BBF8D2BF725E}" name="Unit" dataDxfId="983">
      <calculatedColumnFormula array="1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calculatedColumnFormula>
    </tableColumn>
    <tableColumn id="10" xr3:uid="{CBC01FD7-55FF-3744-B5EB-3329CC1CE45A}" name="Emission Factor" dataDxfId="989">
      <calculatedColumnFormula array="1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calculatedColumnFormula>
    </tableColumn>
    <tableColumn id="11" xr3:uid="{171CCCB0-A28D-654D-A86D-CA9CC39C8B3A}" name="EF Units" dataDxfId="988">
      <calculatedColumnFormula array="1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calculatedColumnFormula>
    </tableColumn>
    <tableColumn id="12" xr3:uid="{0997E2B8-08F9-E44F-89EC-392A5E782C91}" name="GHG Emission Savings" dataDxfId="984">
      <calculatedColumnFormula>IF(OR(EEAOP[[#This Row],[Energy Savings]]="", EEAOP[[#This Row],[Emission Factor]]=""), "", EEAOP[[#This Row],[Energy Savings]] * EEAOP[[#This Row],[Emission Factor]])</calculatedColumnFormula>
    </tableColumn>
    <tableColumn id="13" xr3:uid="{104E9890-F097-1444-8D8D-1E2C309774CE}" name="Emission Savings Units" dataDxfId="987">
      <calculatedColumnFormula>IF(EEAOP[[#This Row],[Emission Factor]]&lt;&gt;"", "Metric Tons", "")</calculatedColumnFormula>
    </tableColumn>
    <tableColumn id="15" xr3:uid="{4DC69AA3-3554-C540-B30A-2F1D64798C16}" name="Utility Savings" dataDxfId="981">
      <calculatedColumnFormula array="1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3FD4BB-2095-6B4F-A20F-893E324AABF3}" name="MEA_SEE" displayName="MEA_SEE" ref="B3:P22" totalsRowShown="0">
  <autoFilter ref="B3:P22" xr:uid="{243FD4BB-2095-6B4F-A20F-893E324AABF3}"/>
  <sortState xmlns:xlrd2="http://schemas.microsoft.com/office/spreadsheetml/2017/richdata2" ref="B4:L20">
    <sortCondition ref="B3:B20"/>
  </sortState>
  <tableColumns count="15">
    <tableColumn id="1" xr3:uid="{6D8881D3-5195-384D-9FA6-40CEF8F8F8D5}" name="Client"/>
    <tableColumn id="2" xr3:uid="{2864D548-E08E-324C-AC4D-8C4167DD0DB7}" name="County"/>
    <tableColumn id="3" xr3:uid="{0CA91C3D-6F87-764D-AAF7-BEDDABE37ECB}" name="Funding Source" dataDxfId="980">
      <calculatedColumnFormula>IF(MEA_SEE[[#This Row],[Client]]&lt;&gt;"","MEA SEE","")</calculatedColumnFormula>
    </tableColumn>
    <tableColumn id="4" xr3:uid="{3CDC0BCF-C8C0-874D-97A4-385E71EEA856}" name="Project Type" dataDxfId="979">
      <calculatedColumnFormula>IF(MEA_SEE[[#This Row],[Client]]&lt;&gt;"","Solar","")</calculatedColumnFormula>
    </tableColumn>
    <tableColumn id="5" xr3:uid="{5C301963-BC43-EB4E-9557-9A6C8C10C0CD}" name="Fuel Source" dataDxfId="976">
      <calculatedColumnFormula>IF(MEA_SEE[[#This Row],[Project Type]]="","", "Electricity")</calculatedColumnFormula>
    </tableColumn>
    <tableColumn id="6" xr3:uid="{866CB410-9E90-7845-AD65-753C0C5CC588}" name="Electricity Usage Before"/>
    <tableColumn id="7" xr3:uid="{888E0EE3-FDDD-CA4C-8C27-CE7FE927571F}" name="Solar Square Footage" dataDxfId="978"/>
    <tableColumn id="8" xr3:uid="{8BDF56EB-24C0-F848-B759-5C68B4E64B4E}" name="Solar Power Generated" dataDxfId="969">
      <calculatedColumnFormula>IF( MEA_SEE[[#This Row],[Solar Square Footage]]&lt;&gt;"", MEA_SEE[[#This Row],[Solar Square Footage]]* EnergyPerFt, "")</calculatedColumnFormula>
    </tableColumn>
    <tableColumn id="9" xr3:uid="{BE962052-5B1E-3F4E-B945-4C253C24B9B0}" name="Energy Savings" dataDxfId="974">
      <calculatedColumnFormula>IF(AND(MEA_SEE[[#This Row],[Electricity Usage Before]]&lt;&gt;"",MEA_SEE[[#This Row],[Solar Power Generated]]&lt;&gt;""),MIN(MEA_SEE[[#This Row],[Electricity Usage Before]],MEA_SEE[[#This Row],[Solar Power Generated]]),"")</calculatedColumnFormula>
    </tableColumn>
    <tableColumn id="10" xr3:uid="{756D35D4-D79A-BC41-9692-D6A23E9F3056}" name="Unit" dataDxfId="977">
      <calculatedColumnFormula>IF(MEA_SEE[[#This Row],[Solar Power Generated]]="","","kWh")</calculatedColumnFormula>
    </tableColumn>
    <tableColumn id="11" xr3:uid="{86188CE7-5C6D-B941-B9D0-0CB1D241F644}" name="Emission Factor" dataDxfId="973">
      <calculatedColumnFormula>IF(MEA_SEE[[#This Row],[Energy Savings]]="", "", Electricity_CO2e_Factor)</calculatedColumnFormula>
    </tableColumn>
    <tableColumn id="12" xr3:uid="{964BA7B7-B121-5F47-9C99-A327E9AC9773}" name="EF Units" dataDxfId="972">
      <calculatedColumnFormula>IF(MEA_SEE[[#This Row],[Emission Factor]]="","","MT/kWh")</calculatedColumnFormula>
    </tableColumn>
    <tableColumn id="13" xr3:uid="{346892A3-4758-3E49-B5CB-D0FD2809311E}" name="GHG Emission Savings" dataDxfId="975">
      <calculatedColumnFormula>IF(MEA_SEE[[#This Row],[Energy Savings]]="", "", MEA_SEE[[#This Row],[Emission Factor]] *MEA_SEE[[#This Row],[Energy Savings]])</calculatedColumnFormula>
    </tableColumn>
    <tableColumn id="14" xr3:uid="{F170A6C8-428C-E545-9E99-5590329409B0}" name="Emission Savings Units" dataDxfId="971">
      <calculatedColumnFormula>IF(MEA_SEE[[#This Row],[GHG Emission Savings]]&lt;&gt;"", "Metric Tons", "")</calculatedColumnFormula>
    </tableColumn>
    <tableColumn id="17" xr3:uid="{55B6D6CD-59BE-C241-AAB2-8F0D43C3A827}" name="Utility Savings" dataDxfId="970">
      <calculatedColumnFormula>IF(MEA_SEE[[#This Row],[Energy Savings]]="","", MEA_SEE[[#This Row],[Energy Savings]]* ElectricityUnitCost)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12721-F439-6542-AC13-ADB0F982572C}" name="Audit_Reports" displayName="Audit_Reports" ref="B3:M22" totalsRowShown="0">
  <autoFilter ref="B3:M22" xr:uid="{D8B12721-F439-6542-AC13-ADB0F982572C}"/>
  <sortState xmlns:xlrd2="http://schemas.microsoft.com/office/spreadsheetml/2017/richdata2" ref="B4:L20">
    <sortCondition ref="B3:B20"/>
  </sortState>
  <tableColumns count="12">
    <tableColumn id="1" xr3:uid="{21E1147B-438B-9B4D-B7D6-9CD6A126F538}" name="Client"/>
    <tableColumn id="2" xr3:uid="{BB7F4A41-FB76-5D4A-8DE1-F4FCC98925B7}" name="County"/>
    <tableColumn id="3" xr3:uid="{9C35E8FA-F47F-8140-A314-A1E84A75BC1E}" name="Funding Source"/>
    <tableColumn id="4" xr3:uid="{6FFDFAC8-BBA7-D540-908F-FDF39721E6DF}" name="Project Type"/>
    <tableColumn id="5" xr3:uid="{C50889E0-249B-B946-ADD2-C1F472FF9CF9}" name="Energy Source"/>
    <tableColumn id="6" xr3:uid="{A29B3E6D-52C7-5F4A-8BE4-5BD918912148}" name="Input Energy Savings"/>
    <tableColumn id="7" xr3:uid="{BA950212-A85C-C643-9B36-E9E0D96AE289}" name="Unit" dataDxfId="966">
      <calculatedColumnFormula array="1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calculatedColumnFormula>
    </tableColumn>
    <tableColumn id="8" xr3:uid="{DC9D5C7B-7CE8-5740-9E8D-6946B7E8AF1F}" name="Emission Factor" dataDxfId="968">
      <calculatedColumnFormula array="1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calculatedColumnFormula>
    </tableColumn>
    <tableColumn id="9" xr3:uid="{011D9883-3D77-2340-8D58-1EA2699901DA}" name="EF Units" dataDxfId="993">
      <calculatedColumnFormula array="1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calculatedColumnFormula>
    </tableColumn>
    <tableColumn id="10" xr3:uid="{2F02ECD7-7D49-004C-B3E2-0456722E6194}" name="GHG Emission Savings" dataDxfId="992">
      <calculatedColumnFormula>IF(OR(Audit_Reports[[#This Row],[Input Energy Savings]]="",Audit_Reports[[#This Row],[Emission Factor]]=""), "", Audit_Reports[[#This Row],[Input Energy Savings]] * Audit_Reports[[#This Row],[Emission Factor]])</calculatedColumnFormula>
    </tableColumn>
    <tableColumn id="11" xr3:uid="{83939B6F-F56D-4542-9B11-4EACC9C48A7D}" name="Emission Savings Units" dataDxfId="991">
      <calculatedColumnFormula>IF(Audit_Reports[[#This Row],[GHG Emission Savings]]&lt;&gt;"", "Metric Tons", "")</calculatedColumnFormula>
    </tableColumn>
    <tableColumn id="12" xr3:uid="{AF31A07B-C0D2-AA4B-B4B0-BF9B81A248D9}" name="Utility Savings" dataDxfId="982">
      <calculatedColumnFormula array="1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1D1AAC-03A9-854E-ACB3-7DBCAA06A062}" name="Append" displayName="Append" ref="A1:S6" tableType="queryTable" totalsRowShown="0">
  <autoFilter ref="A1:S6" xr:uid="{021D1AAC-03A9-854E-ACB3-7DBCAA06A062}"/>
  <tableColumns count="19">
    <tableColumn id="1" xr3:uid="{E038086C-EDC8-EA40-8BD1-2ECD73BB0796}" uniqueName="1" name="Client" queryTableFieldId="1"/>
    <tableColumn id="2" xr3:uid="{C23CA888-DBD5-CE4C-B242-19F3B9258D02}" uniqueName="2" name="County" queryTableFieldId="2"/>
    <tableColumn id="3" xr3:uid="{FB2384F4-A033-B647-AAD4-FAB7F7D30A0A}" uniqueName="3" name="Funding Source" queryTableFieldId="3"/>
    <tableColumn id="4" xr3:uid="{39C78A35-DFAF-8943-800A-ACB5B627C653}" uniqueName="4" name="Project Type" queryTableFieldId="4"/>
    <tableColumn id="5" xr3:uid="{BCD69150-5752-9D49-8721-542D7D65A5A6}" uniqueName="5" name="Energy Source" queryTableFieldId="5" dataDxfId="914"/>
    <tableColumn id="6" xr3:uid="{6A3EF74A-A394-2947-ADBF-2AA2BF88345A}" uniqueName="6" name="Energy Usage Before" queryTableFieldId="6"/>
    <tableColumn id="7" xr3:uid="{4DC3C662-BE87-904F-8CA4-64F06B308CCF}" uniqueName="7" name="Energy Usage After" queryTableFieldId="7"/>
    <tableColumn id="8" xr3:uid="{A854289C-9B05-6147-A50D-3FA6B2984786}" uniqueName="8" name="Energy Savings" queryTableFieldId="8"/>
    <tableColumn id="9" xr3:uid="{E5D02F31-4376-784A-A867-547F1B552861}" uniqueName="9" name="Unit" queryTableFieldId="9" dataDxfId="913"/>
    <tableColumn id="10" xr3:uid="{CC84ACD7-FC6A-0D4A-8F18-3CCBEFCF9C01}" uniqueName="10" name="Emission Factor" queryTableFieldId="10"/>
    <tableColumn id="11" xr3:uid="{8B345FAF-0B2F-6449-A24B-EBFD57E3A03C}" uniqueName="11" name="EF Units" queryTableFieldId="11" dataDxfId="912"/>
    <tableColumn id="12" xr3:uid="{55F0467D-AB6F-7B49-8E1C-FF53C8586B9B}" uniqueName="12" name="GHG Emission Savings" queryTableFieldId="12"/>
    <tableColumn id="13" xr3:uid="{5B6DCE4C-2D22-874A-8C2E-8CA67A44EDAE}" uniqueName="13" name="Emission Savings Units" queryTableFieldId="13" dataDxfId="911"/>
    <tableColumn id="14" xr3:uid="{55A3F555-5A05-AF40-8315-58144BBA288A}" uniqueName="14" name="Utility Savings" queryTableFieldId="14"/>
    <tableColumn id="15" xr3:uid="{7D6D05B5-4227-C14F-9F7D-B7A927C48531}" uniqueName="15" name="Fuel Source" queryTableFieldId="15" dataDxfId="910"/>
    <tableColumn id="16" xr3:uid="{AED281D4-2762-804F-8475-D3D2DA759B31}" uniqueName="16" name="Electricity Usage Before" queryTableFieldId="16"/>
    <tableColumn id="17" xr3:uid="{C7E12C74-0694-DC47-AFB7-9EE0185A59B4}" uniqueName="17" name="Solar Square Footage" queryTableFieldId="17"/>
    <tableColumn id="18" xr3:uid="{6AD79429-5C9A-834B-8F7F-83C96E4DC8E7}" uniqueName="18" name="Solar Power Generated" queryTableFieldId="18"/>
    <tableColumn id="19" xr3:uid="{05A8D255-0690-F641-BD68-716FD6A1D3A2}" uniqueName="19" name="Input Energy Savings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2A0A5A-DBDC-7E46-AF2B-D4B6DECA44D6}" name="Audit_Reports_1" displayName="Audit_Reports_1" ref="B2:M21" tableType="queryTable" totalsRowShown="0">
  <autoFilter ref="B2:M21" xr:uid="{B02A0A5A-DBDC-7E46-AF2B-D4B6DECA44D6}"/>
  <tableColumns count="12">
    <tableColumn id="1" xr3:uid="{65FB7F50-3822-E049-AE6A-EB0DC9D0ABE6}" uniqueName="1" name="Client" queryTableFieldId="1"/>
    <tableColumn id="2" xr3:uid="{1F26854D-25FF-F542-8E63-5CD5D969311F}" uniqueName="2" name="County" queryTableFieldId="2"/>
    <tableColumn id="3" xr3:uid="{1220580C-14C3-0742-B422-42FA1DCB54D3}" uniqueName="3" name="Funding Source" queryTableFieldId="3"/>
    <tableColumn id="4" xr3:uid="{79CECF1C-3FCD-0641-9719-97A2B8D14D85}" uniqueName="4" name="Project Type" queryTableFieldId="4"/>
    <tableColumn id="5" xr3:uid="{DD818283-3F55-6D47-80C2-CCF6A5935F9D}" uniqueName="5" name="Energy Source" queryTableFieldId="5" dataDxfId="918"/>
    <tableColumn id="6" xr3:uid="{CDCCBAE2-21CD-D345-9725-0804E4F62665}" uniqueName="6" name="Input Energy Savings" queryTableFieldId="6"/>
    <tableColumn id="7" xr3:uid="{ACEF5C30-063E-F843-BEE0-00D1C15CA8CC}" uniqueName="7" name="Unit" queryTableFieldId="7" dataDxfId="917"/>
    <tableColumn id="8" xr3:uid="{8C173BD1-9764-C242-B0CB-7F9C3DC721FD}" uniqueName="8" name="Emission Factor" queryTableFieldId="8"/>
    <tableColumn id="9" xr3:uid="{489DDE3A-0685-3744-B2D8-D802BDB5E135}" uniqueName="9" name="EF Units" queryTableFieldId="9" dataDxfId="916"/>
    <tableColumn id="10" xr3:uid="{5BEDB7D1-6AED-0943-BC12-92EB9EECE473}" uniqueName="10" name="GHG Emission Savings" queryTableFieldId="10"/>
    <tableColumn id="11" xr3:uid="{EC1CFFCB-B451-8D4F-BD5B-16DB3423F5C8}" uniqueName="11" name="Emission Savings Units" queryTableFieldId="11" dataDxfId="915"/>
    <tableColumn id="12" xr3:uid="{6650B0AD-C062-1844-B32A-F67FADD674FA}" uniqueName="12" name="Utility Savings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A48E41-79B6-CE41-BE3E-D6534356BCB0}" name="MEA_SEE_1" displayName="MEA_SEE_1" ref="A1:O20" tableType="queryTable" totalsRowShown="0">
  <autoFilter ref="A1:O20" xr:uid="{92A48E41-79B6-CE41-BE3E-D6534356BCB0}"/>
  <tableColumns count="15">
    <tableColumn id="1" xr3:uid="{665A7768-2457-2249-90E9-B64F55820C33}" uniqueName="1" name="Client" queryTableFieldId="1" dataDxfId="926"/>
    <tableColumn id="2" xr3:uid="{4A40DE42-888F-5045-9475-95D21E2B51E2}" uniqueName="2" name="County" queryTableFieldId="2" dataDxfId="925"/>
    <tableColumn id="3" xr3:uid="{0C928175-FD71-F243-B687-77A1E565709C}" uniqueName="3" name="Funding Source" queryTableFieldId="3" dataDxfId="924"/>
    <tableColumn id="4" xr3:uid="{F956C39F-B0FE-8543-BCE6-1B18CCFD0624}" uniqueName="4" name="Project Type" queryTableFieldId="4" dataDxfId="923"/>
    <tableColumn id="5" xr3:uid="{9F3A60A3-3206-C44C-9E47-A335CBAC2419}" uniqueName="5" name="Fuel Source" queryTableFieldId="5" dataDxfId="922"/>
    <tableColumn id="6" xr3:uid="{B301E175-4870-154A-9D82-6D3292F30EBA}" uniqueName="6" name="Electricity Usage Before" queryTableFieldId="6"/>
    <tableColumn id="7" xr3:uid="{9CC858C5-655E-A74D-A956-2D9EFA7C6A8D}" uniqueName="7" name="Solar Square Footage" queryTableFieldId="7"/>
    <tableColumn id="8" xr3:uid="{87AE661F-C804-0242-A7EF-F4049EF16788}" uniqueName="8" name="Solar Power Generated" queryTableFieldId="8"/>
    <tableColumn id="9" xr3:uid="{FC7DE616-5239-7248-B0B9-3138F3D41D93}" uniqueName="9" name="Energy Savings" queryTableFieldId="9"/>
    <tableColumn id="10" xr3:uid="{CFF80ECB-ADBD-184E-BE5A-DCE5987D3A83}" uniqueName="10" name="Unit" queryTableFieldId="10" dataDxfId="921"/>
    <tableColumn id="11" xr3:uid="{938D7797-3F96-9547-809F-7F6DDF91191F}" uniqueName="11" name="Emission Factor" queryTableFieldId="11"/>
    <tableColumn id="12" xr3:uid="{3CEA2804-4A2C-B444-BC05-6E4AEEE75810}" uniqueName="12" name="EF Units" queryTableFieldId="12" dataDxfId="920"/>
    <tableColumn id="13" xr3:uid="{3116DC20-10AA-2D42-B2D1-0D7E0A4558E9}" uniqueName="13" name="GHG Emission Savings" queryTableFieldId="13"/>
    <tableColumn id="14" xr3:uid="{335F80DD-BE35-494E-B04D-5738EE54B6ED}" uniqueName="14" name="Emission Savings Units" queryTableFieldId="14" dataDxfId="919"/>
    <tableColumn id="15" xr3:uid="{86369695-4600-9F4D-9925-CCA48287486B}" uniqueName="15" name="Utility Savings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F8A9C75-4A46-3943-95BF-70222FF47C2C}" name="EEAOP1" displayName="EEAOP1" ref="A1:N20" tableType="queryTable" totalsRowShown="0">
  <autoFilter ref="A1:N20" xr:uid="{4F8A9C75-4A46-3943-95BF-70222FF47C2C}"/>
  <tableColumns count="14">
    <tableColumn id="1" xr3:uid="{715EF712-E7F1-C542-8822-E5329E69050A}" uniqueName="1" name="Client" queryTableFieldId="1" dataDxfId="909"/>
    <tableColumn id="2" xr3:uid="{C2C1EE67-3947-3C41-BBCE-876B26722FD3}" uniqueName="2" name="County" queryTableFieldId="2" dataDxfId="908"/>
    <tableColumn id="3" xr3:uid="{9FAE69AE-79CF-D147-AE96-51D116F1FE32}" uniqueName="3" name="Funding Source" queryTableFieldId="3" dataDxfId="907"/>
    <tableColumn id="4" xr3:uid="{E1AADDEE-F9E3-E743-8E34-A944D0F4D7DE}" uniqueName="4" name="Project Type" queryTableFieldId="4"/>
    <tableColumn id="5" xr3:uid="{CAA792E7-738F-3448-822B-E90D2A19E7D3}" uniqueName="5" name="Energy Source" queryTableFieldId="5" dataDxfId="906"/>
    <tableColumn id="6" xr3:uid="{CE701937-5875-094F-929C-C701C3C490D3}" uniqueName="6" name="Energy Usage Before" queryTableFieldId="6"/>
    <tableColumn id="7" xr3:uid="{4CAA3286-B990-C44A-B175-4F5D529146F8}" uniqueName="7" name="Energy Usage After" queryTableFieldId="7"/>
    <tableColumn id="8" xr3:uid="{B366D290-1ED3-B04C-A592-2301F37975E7}" uniqueName="8" name="Energy Savings" queryTableFieldId="8"/>
    <tableColumn id="9" xr3:uid="{4053250D-DF38-AA49-9917-722C666D86D0}" uniqueName="9" name="Unit" queryTableFieldId="9" dataDxfId="905"/>
    <tableColumn id="10" xr3:uid="{001729EC-809F-F442-8023-5697ADF76EF9}" uniqueName="10" name="Emission Factor" queryTableFieldId="10"/>
    <tableColumn id="11" xr3:uid="{022B151D-996C-A444-9D99-8464D83B7906}" uniqueName="11" name="EF Units" queryTableFieldId="11" dataDxfId="904"/>
    <tableColumn id="12" xr3:uid="{42047F5C-CB72-6F4A-A75A-631B8F2A8A78}" uniqueName="12" name="GHG Emission Savings" queryTableFieldId="12"/>
    <tableColumn id="13" xr3:uid="{FA01EB4E-D971-A44F-8DB6-D7FAE455297C}" uniqueName="13" name="Emission Savings Units" queryTableFieldId="13" dataDxfId="903"/>
    <tableColumn id="14" xr3:uid="{C1CE0CBE-0563-6D46-B256-62CD315DFD3F}" uniqueName="14" name="Utility Savings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pvwatts.nlr.gov/pvwatts.php" TargetMode="External"/><Relationship Id="rId1" Type="http://schemas.openxmlformats.org/officeDocument/2006/relationships/hyperlink" Target="https://www.epa.gov/system/files/documents/2025-01/ghg-emission-factors-hub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940B-AE8C-674F-8424-601898BDF086}">
  <dimension ref="A3:T36"/>
  <sheetViews>
    <sheetView showGridLines="0" workbookViewId="0">
      <selection activeCell="A5" sqref="A5:A25"/>
    </sheetView>
  </sheetViews>
  <sheetFormatPr baseColWidth="10" defaultColWidth="12.83203125" defaultRowHeight="16" x14ac:dyDescent="0.2"/>
  <cols>
    <col min="2" max="2" width="19.83203125" hidden="1" customWidth="1"/>
    <col min="5" max="17" width="12.83203125" customWidth="1"/>
  </cols>
  <sheetData>
    <row r="3" spans="1:18" x14ac:dyDescent="0.2">
      <c r="F3" s="14" t="s">
        <v>9</v>
      </c>
      <c r="I3" s="14" t="s">
        <v>7</v>
      </c>
      <c r="K3" s="14" t="s">
        <v>18</v>
      </c>
      <c r="M3" t="s">
        <v>6</v>
      </c>
    </row>
    <row r="4" spans="1:18" x14ac:dyDescent="0.2">
      <c r="C4" s="14" t="s">
        <v>5</v>
      </c>
      <c r="D4" s="16" t="s">
        <v>13</v>
      </c>
      <c r="E4" s="1" t="s">
        <v>21</v>
      </c>
      <c r="F4" s="2"/>
      <c r="G4" s="3">
        <v>2.676E-4</v>
      </c>
      <c r="H4" s="2"/>
      <c r="I4" s="17">
        <f>C5*G4</f>
        <v>0</v>
      </c>
      <c r="J4" s="3"/>
      <c r="K4" s="11">
        <v>1</v>
      </c>
      <c r="L4" s="1"/>
      <c r="M4" s="17">
        <f>I4*K4</f>
        <v>0</v>
      </c>
      <c r="N4" s="3"/>
      <c r="P4" s="14" t="s">
        <v>14</v>
      </c>
    </row>
    <row r="5" spans="1:18" x14ac:dyDescent="0.2">
      <c r="A5" s="7" t="s">
        <v>0</v>
      </c>
      <c r="B5" s="8"/>
      <c r="C5" s="9">
        <v>0</v>
      </c>
      <c r="D5" s="9" t="s">
        <v>11</v>
      </c>
      <c r="E5" s="8" t="s">
        <v>23</v>
      </c>
      <c r="F5" s="9"/>
      <c r="G5" s="10">
        <v>1.6330000000000001E-8</v>
      </c>
      <c r="H5" s="9"/>
      <c r="I5" s="18">
        <f>C5*G5</f>
        <v>0</v>
      </c>
      <c r="J5" s="10"/>
      <c r="K5" s="7">
        <v>28</v>
      </c>
      <c r="L5" s="8"/>
      <c r="M5" s="18">
        <f t="shared" ref="M5:M6" si="0">I5*K5</f>
        <v>0</v>
      </c>
      <c r="N5" s="10"/>
      <c r="O5" s="8"/>
      <c r="P5" s="20">
        <f>SUM(M4,M5,M6)</f>
        <v>0</v>
      </c>
      <c r="Q5" s="9" t="s">
        <v>30</v>
      </c>
      <c r="R5" s="13"/>
    </row>
    <row r="6" spans="1:18" x14ac:dyDescent="0.2">
      <c r="E6" s="8" t="s">
        <v>26</v>
      </c>
      <c r="F6" s="9"/>
      <c r="G6" s="10">
        <v>2.2699999999999998E-9</v>
      </c>
      <c r="H6" s="9"/>
      <c r="I6" s="19">
        <f>C5*G6</f>
        <v>0</v>
      </c>
      <c r="J6" s="10"/>
      <c r="K6" s="12">
        <v>265</v>
      </c>
      <c r="L6" s="8"/>
      <c r="M6" s="19">
        <f t="shared" si="0"/>
        <v>0</v>
      </c>
      <c r="N6" s="10"/>
      <c r="R6" s="13"/>
    </row>
    <row r="7" spans="1:18" x14ac:dyDescent="0.2">
      <c r="R7" s="13"/>
    </row>
    <row r="8" spans="1:18" x14ac:dyDescent="0.2">
      <c r="F8" s="14" t="s">
        <v>8</v>
      </c>
      <c r="I8" s="14" t="s">
        <v>7</v>
      </c>
      <c r="K8" s="14" t="s">
        <v>18</v>
      </c>
      <c r="M8" t="s">
        <v>6</v>
      </c>
      <c r="R8" s="13"/>
    </row>
    <row r="9" spans="1:18" x14ac:dyDescent="0.2">
      <c r="C9" s="14" t="s">
        <v>5</v>
      </c>
      <c r="D9" s="16" t="s">
        <v>13</v>
      </c>
      <c r="E9" s="8" t="s">
        <v>22</v>
      </c>
      <c r="F9" s="9"/>
      <c r="G9" s="10">
        <v>5.7200000000000003E-3</v>
      </c>
      <c r="H9" s="2"/>
      <c r="I9" s="17">
        <f>C10*G9</f>
        <v>0</v>
      </c>
      <c r="J9" s="3"/>
      <c r="K9" s="11">
        <v>1</v>
      </c>
      <c r="L9" s="1"/>
      <c r="M9" s="17">
        <f>I9*K9</f>
        <v>0</v>
      </c>
      <c r="N9" s="3"/>
      <c r="P9" s="14" t="s">
        <v>15</v>
      </c>
      <c r="R9" s="13"/>
    </row>
    <row r="10" spans="1:18" x14ac:dyDescent="0.2">
      <c r="A10" s="7" t="s">
        <v>1</v>
      </c>
      <c r="B10" s="8"/>
      <c r="C10" s="9">
        <v>0</v>
      </c>
      <c r="D10" s="10" t="s">
        <v>12</v>
      </c>
      <c r="E10" s="8" t="s">
        <v>24</v>
      </c>
      <c r="F10" s="9"/>
      <c r="G10" s="10">
        <v>2.7000000000000001E-7</v>
      </c>
      <c r="H10" s="9"/>
      <c r="I10" s="18">
        <f>C10*G10</f>
        <v>0</v>
      </c>
      <c r="J10" s="10"/>
      <c r="K10" s="7">
        <v>28</v>
      </c>
      <c r="L10" s="8"/>
      <c r="M10" s="18">
        <f t="shared" ref="M10:M11" si="1">I10*K10</f>
        <v>0</v>
      </c>
      <c r="N10" s="10"/>
      <c r="O10" s="8"/>
      <c r="P10" s="15">
        <f>SUM(M9,M10,M11)</f>
        <v>0</v>
      </c>
      <c r="Q10" s="9" t="s">
        <v>30</v>
      </c>
      <c r="R10" s="13"/>
    </row>
    <row r="11" spans="1:18" x14ac:dyDescent="0.2">
      <c r="E11" s="8" t="s">
        <v>25</v>
      </c>
      <c r="F11" s="9"/>
      <c r="G11" s="10">
        <v>4.9899999999999997E-8</v>
      </c>
      <c r="H11" s="9"/>
      <c r="I11" s="19">
        <f>C10*G11</f>
        <v>0</v>
      </c>
      <c r="J11" s="10"/>
      <c r="K11" s="12">
        <v>265</v>
      </c>
      <c r="L11" s="8"/>
      <c r="M11" s="19">
        <f t="shared" si="1"/>
        <v>0</v>
      </c>
      <c r="N11" s="10"/>
      <c r="R11" s="13"/>
    </row>
    <row r="12" spans="1:18" x14ac:dyDescent="0.2">
      <c r="R12" s="13"/>
    </row>
    <row r="13" spans="1:18" x14ac:dyDescent="0.2">
      <c r="F13" s="14" t="s">
        <v>8</v>
      </c>
      <c r="I13" s="14" t="s">
        <v>7</v>
      </c>
      <c r="K13" s="14" t="s">
        <v>18</v>
      </c>
      <c r="M13" t="s">
        <v>6</v>
      </c>
      <c r="R13" s="13"/>
    </row>
    <row r="14" spans="1:18" x14ac:dyDescent="0.2">
      <c r="C14" s="14" t="s">
        <v>5</v>
      </c>
      <c r="D14" s="16" t="s">
        <v>13</v>
      </c>
      <c r="E14" s="1" t="s">
        <v>22</v>
      </c>
      <c r="F14" s="2"/>
      <c r="G14" s="3">
        <v>1.021E-2</v>
      </c>
      <c r="H14" s="2"/>
      <c r="I14" s="17">
        <f>C15*G14</f>
        <v>0</v>
      </c>
      <c r="J14" s="3"/>
      <c r="K14" s="11">
        <v>1</v>
      </c>
      <c r="L14" s="1"/>
      <c r="M14" s="17">
        <f>I14*K14</f>
        <v>0</v>
      </c>
      <c r="N14" s="3"/>
      <c r="P14" s="14" t="s">
        <v>16</v>
      </c>
      <c r="R14" s="13"/>
    </row>
    <row r="15" spans="1:18" x14ac:dyDescent="0.2">
      <c r="A15" s="8" t="s">
        <v>2</v>
      </c>
      <c r="B15" s="9" t="s">
        <v>3</v>
      </c>
      <c r="C15" s="8">
        <v>0</v>
      </c>
      <c r="D15" s="10" t="s">
        <v>12</v>
      </c>
      <c r="E15" s="8" t="s">
        <v>24</v>
      </c>
      <c r="F15" s="9"/>
      <c r="G15" s="10">
        <v>4.0999999999999999E-7</v>
      </c>
      <c r="H15" s="9"/>
      <c r="I15" s="18">
        <f>C15*G15</f>
        <v>0</v>
      </c>
      <c r="J15" s="10"/>
      <c r="K15" s="7">
        <v>28</v>
      </c>
      <c r="L15" s="8"/>
      <c r="M15" s="18">
        <f t="shared" ref="M15:M16" si="2">I15*K15</f>
        <v>0</v>
      </c>
      <c r="N15" s="10"/>
      <c r="O15" s="8"/>
      <c r="P15" s="15">
        <f>SUM(M14,M15,M16)</f>
        <v>0</v>
      </c>
      <c r="Q15" s="9" t="s">
        <v>30</v>
      </c>
      <c r="R15" s="13"/>
    </row>
    <row r="16" spans="1:18" x14ac:dyDescent="0.2">
      <c r="E16" s="4" t="s">
        <v>25</v>
      </c>
      <c r="F16" s="5"/>
      <c r="G16" s="6">
        <v>8.1600000000000003E-8</v>
      </c>
      <c r="H16" s="9"/>
      <c r="I16" s="19">
        <f>C15*G16</f>
        <v>0</v>
      </c>
      <c r="J16" s="10"/>
      <c r="K16" s="12">
        <v>265</v>
      </c>
      <c r="L16" s="8"/>
      <c r="M16" s="19">
        <f t="shared" si="2"/>
        <v>0</v>
      </c>
      <c r="N16" s="10"/>
      <c r="R16" s="13"/>
    </row>
    <row r="17" spans="1:20" x14ac:dyDescent="0.2">
      <c r="R17" s="13"/>
    </row>
    <row r="18" spans="1:20" x14ac:dyDescent="0.2">
      <c r="F18" s="14" t="s">
        <v>8</v>
      </c>
      <c r="I18" s="14" t="s">
        <v>7</v>
      </c>
      <c r="K18" s="14" t="s">
        <v>18</v>
      </c>
      <c r="M18" t="s">
        <v>6</v>
      </c>
      <c r="R18" s="13"/>
    </row>
    <row r="19" spans="1:20" x14ac:dyDescent="0.2">
      <c r="C19" s="14" t="s">
        <v>5</v>
      </c>
      <c r="D19" s="16" t="s">
        <v>13</v>
      </c>
      <c r="E19" s="1" t="s">
        <v>27</v>
      </c>
      <c r="F19" s="2"/>
      <c r="G19" s="3">
        <v>5.28E-3</v>
      </c>
      <c r="H19" s="2"/>
      <c r="I19" s="17">
        <f>C20*G19</f>
        <v>0</v>
      </c>
      <c r="J19" s="3"/>
      <c r="K19" s="11">
        <v>1</v>
      </c>
      <c r="L19" s="1"/>
      <c r="M19" s="17">
        <f>I19*K19</f>
        <v>0</v>
      </c>
      <c r="N19" s="3"/>
      <c r="P19" s="14" t="s">
        <v>17</v>
      </c>
      <c r="R19" s="13"/>
    </row>
    <row r="20" spans="1:20" x14ac:dyDescent="0.2">
      <c r="A20" s="7" t="s">
        <v>4</v>
      </c>
      <c r="B20" s="9"/>
      <c r="C20" s="9">
        <v>0</v>
      </c>
      <c r="D20" s="10" t="s">
        <v>10</v>
      </c>
      <c r="E20" s="8" t="s">
        <v>28</v>
      </c>
      <c r="F20" s="9"/>
      <c r="G20" s="10">
        <v>9.9999999999999995E-8</v>
      </c>
      <c r="H20" s="9"/>
      <c r="I20" s="18">
        <f>C20*G20</f>
        <v>0</v>
      </c>
      <c r="J20" s="10"/>
      <c r="K20" s="7">
        <v>28</v>
      </c>
      <c r="L20" s="8"/>
      <c r="M20" s="18">
        <f t="shared" ref="M20:M21" si="3">I20*K20</f>
        <v>0</v>
      </c>
      <c r="N20" s="10"/>
      <c r="O20" s="8"/>
      <c r="P20" s="15">
        <f>SUM(M19,M20,M21)</f>
        <v>0</v>
      </c>
      <c r="Q20" s="9" t="s">
        <v>30</v>
      </c>
      <c r="R20" s="13"/>
    </row>
    <row r="21" spans="1:20" x14ac:dyDescent="0.2">
      <c r="E21" s="4" t="s">
        <v>29</v>
      </c>
      <c r="F21" s="5"/>
      <c r="G21" s="6">
        <v>9.0699999999999995E-9</v>
      </c>
      <c r="H21" s="9"/>
      <c r="I21" s="19">
        <f>C20*G21</f>
        <v>0</v>
      </c>
      <c r="J21" s="10"/>
      <c r="K21" s="12">
        <v>265</v>
      </c>
      <c r="L21" s="8"/>
      <c r="M21" s="19">
        <f t="shared" si="3"/>
        <v>0</v>
      </c>
      <c r="N21" s="10"/>
      <c r="R21" s="13"/>
    </row>
    <row r="22" spans="1:20" x14ac:dyDescent="0.2">
      <c r="R22" s="13"/>
    </row>
    <row r="23" spans="1:20" x14ac:dyDescent="0.2">
      <c r="F23" s="14" t="s">
        <v>8</v>
      </c>
      <c r="I23" s="14" t="s">
        <v>7</v>
      </c>
      <c r="K23" s="14" t="s">
        <v>18</v>
      </c>
      <c r="M23" t="s">
        <v>6</v>
      </c>
      <c r="R23" s="13"/>
    </row>
    <row r="24" spans="1:20" x14ac:dyDescent="0.2">
      <c r="C24" s="14" t="s">
        <v>5</v>
      </c>
      <c r="D24" s="16" t="s">
        <v>13</v>
      </c>
      <c r="E24" s="1" t="s">
        <v>22</v>
      </c>
      <c r="F24" s="2"/>
      <c r="G24" s="3">
        <v>1.021E-2</v>
      </c>
      <c r="H24" s="2"/>
      <c r="I24" s="17">
        <f>C25*G24</f>
        <v>0</v>
      </c>
      <c r="J24" s="3"/>
      <c r="K24" s="11">
        <v>1</v>
      </c>
      <c r="L24" s="1"/>
      <c r="M24" s="17">
        <f>I24*K24</f>
        <v>0</v>
      </c>
      <c r="N24" s="3"/>
      <c r="P24" s="14" t="s">
        <v>32</v>
      </c>
      <c r="R24" s="13"/>
    </row>
    <row r="25" spans="1:20" x14ac:dyDescent="0.2">
      <c r="A25" s="8" t="s">
        <v>20</v>
      </c>
      <c r="B25" s="9" t="s">
        <v>3</v>
      </c>
      <c r="C25" s="8">
        <v>0</v>
      </c>
      <c r="D25" s="10" t="s">
        <v>12</v>
      </c>
      <c r="E25" s="8" t="s">
        <v>24</v>
      </c>
      <c r="F25" s="9"/>
      <c r="G25" s="10">
        <v>4.0999999999999999E-7</v>
      </c>
      <c r="H25" s="9"/>
      <c r="I25" s="18">
        <f>C25*G25</f>
        <v>0</v>
      </c>
      <c r="J25" s="10"/>
      <c r="K25" s="7">
        <v>28</v>
      </c>
      <c r="L25" s="8"/>
      <c r="M25" s="18">
        <f t="shared" ref="M25:M26" si="4">I25*K25</f>
        <v>0</v>
      </c>
      <c r="N25" s="10"/>
      <c r="O25" s="8"/>
      <c r="P25" s="15">
        <f>SUM(M24,M25,M26)</f>
        <v>0</v>
      </c>
      <c r="Q25" s="9" t="s">
        <v>30</v>
      </c>
      <c r="R25" s="13"/>
    </row>
    <row r="26" spans="1:20" x14ac:dyDescent="0.2">
      <c r="E26" s="4" t="s">
        <v>25</v>
      </c>
      <c r="F26" s="5"/>
      <c r="G26" s="6">
        <v>8.1600000000000003E-8</v>
      </c>
      <c r="H26" s="9"/>
      <c r="I26" s="19">
        <f>C25*G26</f>
        <v>0</v>
      </c>
      <c r="J26" s="10"/>
      <c r="K26" s="12">
        <v>265</v>
      </c>
      <c r="L26" s="8"/>
      <c r="M26" s="19">
        <f t="shared" si="4"/>
        <v>0</v>
      </c>
      <c r="N26" s="10"/>
      <c r="R26" s="13"/>
    </row>
    <row r="27" spans="1:20" x14ac:dyDescent="0.2">
      <c r="R27" s="13"/>
    </row>
    <row r="28" spans="1:20" x14ac:dyDescent="0.2">
      <c r="R28" s="13"/>
    </row>
    <row r="29" spans="1:20" x14ac:dyDescent="0.2">
      <c r="R29" s="4"/>
      <c r="S29" s="14" t="s">
        <v>19</v>
      </c>
    </row>
    <row r="30" spans="1:20" x14ac:dyDescent="0.2">
      <c r="R30" s="8"/>
      <c r="S30" s="15">
        <f>SUM(P20,P15,P10,P5,P25)</f>
        <v>0</v>
      </c>
      <c r="T30" s="10" t="s">
        <v>31</v>
      </c>
    </row>
    <row r="36" spans="3:3" x14ac:dyDescent="0.2">
      <c r="C36" s="16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52B0-83D5-404D-9F88-9D76982A5422}">
  <dimension ref="B2:O22"/>
  <sheetViews>
    <sheetView showGridLines="0" topLeftCell="I1" zoomScale="75" workbookViewId="0"/>
  </sheetViews>
  <sheetFormatPr baseColWidth="10" defaultColWidth="25.83203125" defaultRowHeight="20" customHeight="1" x14ac:dyDescent="0.2"/>
  <cols>
    <col min="1" max="1" width="12.83203125" style="27" customWidth="1"/>
    <col min="2" max="16384" width="25.83203125" style="27"/>
  </cols>
  <sheetData>
    <row r="2" spans="2:15" ht="20" customHeight="1" x14ac:dyDescent="0.2">
      <c r="B2" s="38" t="s">
        <v>75</v>
      </c>
    </row>
    <row r="3" spans="2:15" ht="20" customHeight="1" x14ac:dyDescent="0.2">
      <c r="B3" s="27" t="s">
        <v>33</v>
      </c>
      <c r="C3" s="27" t="s">
        <v>34</v>
      </c>
      <c r="D3" s="27" t="s">
        <v>35</v>
      </c>
      <c r="E3" s="27" t="s">
        <v>36</v>
      </c>
      <c r="F3" s="27" t="s">
        <v>37</v>
      </c>
      <c r="G3" s="27" t="s">
        <v>103</v>
      </c>
      <c r="H3" s="27" t="s">
        <v>104</v>
      </c>
      <c r="I3" s="27" t="s">
        <v>76</v>
      </c>
      <c r="J3" s="27" t="s">
        <v>42</v>
      </c>
      <c r="K3" s="27" t="s">
        <v>38</v>
      </c>
      <c r="L3" s="27" t="s">
        <v>39</v>
      </c>
      <c r="M3" s="27" t="s">
        <v>40</v>
      </c>
      <c r="N3" s="27" t="s">
        <v>41</v>
      </c>
      <c r="O3" s="27" t="s">
        <v>73</v>
      </c>
    </row>
    <row r="4" spans="2:15" ht="20" customHeight="1" x14ac:dyDescent="0.2">
      <c r="B4" s="27" t="s">
        <v>111</v>
      </c>
      <c r="C4" s="27" t="str">
        <f>IF(EEAOP[[#This Row],[Client]]&lt;&gt;"","Montgomery","")</f>
        <v>Montgomery</v>
      </c>
      <c r="D4" s="27" t="str">
        <f>IF(EEAOP[[#This Row],[Client]]&lt;&gt;"","EEAOP","")</f>
        <v>EEAOP</v>
      </c>
      <c r="E4" s="27" t="s">
        <v>109</v>
      </c>
      <c r="F4" s="27" t="s">
        <v>4</v>
      </c>
      <c r="G4" s="27">
        <v>1400</v>
      </c>
      <c r="H4" s="40">
        <v>900</v>
      </c>
      <c r="I4" s="40">
        <f xml:space="preserve"> IF(AND(EEAOP[[#This Row],[Energy Usage Before]]&lt;&gt;"",EEAOP[[#This Row],[Energy Usage After]]&lt;&gt;""), EEAOP[[#This Row],[Energy Usage Before]] - EEAOP[[#This Row],[Energy Usage After]], "")</f>
        <v>500</v>
      </c>
      <c r="J4" s="40" t="str" cm="1">
        <f t="array" ref="J4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>Therms</v>
      </c>
      <c r="K4" s="40" cm="1">
        <f t="array" ref="K4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>5.3114366471734894E-3</v>
      </c>
      <c r="L4" s="40" t="str" cm="1">
        <f t="array" ref="L4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>MT/Therm</v>
      </c>
      <c r="M4" s="27">
        <f>IF(OR(EEAOP[[#This Row],[Energy Savings]]="", EEAOP[[#This Row],[Emission Factor]]=""), "", EEAOP[[#This Row],[Energy Savings]] * EEAOP[[#This Row],[Emission Factor]])</f>
        <v>2.6557183235867448</v>
      </c>
      <c r="N4" s="27" t="str">
        <f>IF(EEAOP[[#This Row],[Emission Factor]]&lt;&gt;"", "Metric Tons", "")</f>
        <v>Metric Tons</v>
      </c>
      <c r="O4" s="37" cm="1">
        <f t="array" ref="O4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>600</v>
      </c>
    </row>
    <row r="5" spans="2:15" ht="20" customHeight="1" x14ac:dyDescent="0.2">
      <c r="B5" s="27" t="s">
        <v>112</v>
      </c>
      <c r="C5" s="27" t="str">
        <f>IF(EEAOP[[#This Row],[Client]]&lt;&gt;"","Montgomery","")</f>
        <v>Montgomery</v>
      </c>
      <c r="D5" s="27" t="str">
        <f>IF(EEAOP[[#This Row],[Client]]&lt;&gt;"","EEAOP","")</f>
        <v>EEAOP</v>
      </c>
      <c r="E5" s="27" t="s">
        <v>72</v>
      </c>
      <c r="F5" s="27" t="s">
        <v>1</v>
      </c>
      <c r="G5" s="27">
        <v>50</v>
      </c>
      <c r="H5" s="40">
        <v>20</v>
      </c>
      <c r="I5" s="40">
        <f xml:space="preserve"> IF(AND(EEAOP[[#This Row],[Energy Usage Before]]&lt;&gt;"",EEAOP[[#This Row],[Energy Usage After]]&lt;&gt;""), EEAOP[[#This Row],[Energy Usage Before]] - EEAOP[[#This Row],[Energy Usage After]], "")</f>
        <v>30</v>
      </c>
      <c r="J5" s="40" t="str" cm="1">
        <f t="array" ref="J5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>Gallons</v>
      </c>
      <c r="K5" s="40" cm="1">
        <f t="array" ref="K5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>5.7408100000000007E-3</v>
      </c>
      <c r="L5" s="40" t="str" cm="1">
        <f t="array" ref="L5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>MT/Gallon</v>
      </c>
      <c r="M5" s="27">
        <f>IF(OR(EEAOP[[#This Row],[Energy Savings]]="", EEAOP[[#This Row],[Emission Factor]]=""), "", EEAOP[[#This Row],[Energy Savings]] * EEAOP[[#This Row],[Emission Factor]])</f>
        <v>0.17222430000000002</v>
      </c>
      <c r="N5" s="27" t="str">
        <f>IF(EEAOP[[#This Row],[Emission Factor]]&lt;&gt;"", "Metric Tons", "")</f>
        <v>Metric Tons</v>
      </c>
      <c r="O5" s="37" cm="1">
        <f t="array" ref="O5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>187.20000000000002</v>
      </c>
    </row>
    <row r="6" spans="2:15" ht="20" customHeight="1" x14ac:dyDescent="0.2">
      <c r="C6" s="27" t="str">
        <f>IF(EEAOP[[#This Row],[Client]]&lt;&gt;"","Montgomery","")</f>
        <v/>
      </c>
      <c r="D6" s="27" t="str">
        <f>IF(EEAOP[[#This Row],[Client]]&lt;&gt;"","EEAOP","")</f>
        <v/>
      </c>
      <c r="H6" s="40"/>
      <c r="I6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6" s="40" t="str" cm="1">
        <f t="array" ref="J6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6" s="40" t="str" cm="1">
        <f t="array" ref="K6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6" s="40" t="str" cm="1">
        <f t="array" ref="L6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6" s="27" t="str">
        <f>IF(OR(EEAOP[[#This Row],[Energy Savings]]="", EEAOP[[#This Row],[Emission Factor]]=""), "", EEAOP[[#This Row],[Energy Savings]] * EEAOP[[#This Row],[Emission Factor]])</f>
        <v/>
      </c>
      <c r="N6" s="27" t="str">
        <f>IF(EEAOP[[#This Row],[Emission Factor]]&lt;&gt;"", "Metric Tons", "")</f>
        <v/>
      </c>
      <c r="O6" s="37" t="str" cm="1">
        <f t="array" ref="O6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7" spans="2:15" ht="20" customHeight="1" x14ac:dyDescent="0.2">
      <c r="C7" s="27" t="str">
        <f>IF(EEAOP[[#This Row],[Client]]&lt;&gt;"","Montgomery","")</f>
        <v/>
      </c>
      <c r="D7" s="27" t="str">
        <f>IF(EEAOP[[#This Row],[Client]]&lt;&gt;"","EEAOP","")</f>
        <v/>
      </c>
      <c r="H7" s="40"/>
      <c r="I7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7" s="40" t="str" cm="1">
        <f t="array" ref="J7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7" s="40" t="str" cm="1">
        <f t="array" ref="K7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7" s="40" t="str" cm="1">
        <f t="array" ref="L7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7" s="27" t="str">
        <f>IF(OR(EEAOP[[#This Row],[Energy Savings]]="", EEAOP[[#This Row],[Emission Factor]]=""), "", EEAOP[[#This Row],[Energy Savings]] * EEAOP[[#This Row],[Emission Factor]])</f>
        <v/>
      </c>
      <c r="N7" s="27" t="str">
        <f>IF(EEAOP[[#This Row],[Emission Factor]]&lt;&gt;"", "Metric Tons", "")</f>
        <v/>
      </c>
      <c r="O7" s="37" t="str" cm="1">
        <f t="array" ref="O7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8" spans="2:15" ht="20" customHeight="1" x14ac:dyDescent="0.2">
      <c r="C8" s="27" t="str">
        <f>IF(EEAOP[[#This Row],[Client]]&lt;&gt;"","Montgomery","")</f>
        <v/>
      </c>
      <c r="D8" s="27" t="str">
        <f>IF(EEAOP[[#This Row],[Client]]&lt;&gt;"","EEAOP","")</f>
        <v/>
      </c>
      <c r="H8" s="40"/>
      <c r="I8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8" s="40" t="str" cm="1">
        <f t="array" ref="J8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8" s="40" t="str" cm="1">
        <f t="array" ref="K8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8" s="40" t="str" cm="1">
        <f t="array" ref="L8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8" s="27" t="str">
        <f>IF(OR(EEAOP[[#This Row],[Energy Savings]]="", EEAOP[[#This Row],[Emission Factor]]=""), "", EEAOP[[#This Row],[Energy Savings]] * EEAOP[[#This Row],[Emission Factor]])</f>
        <v/>
      </c>
      <c r="N8" s="27" t="str">
        <f>IF(EEAOP[[#This Row],[Emission Factor]]&lt;&gt;"", "Metric Tons", "")</f>
        <v/>
      </c>
      <c r="O8" s="37" t="str" cm="1">
        <f t="array" ref="O8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9" spans="2:15" ht="20" customHeight="1" x14ac:dyDescent="0.2">
      <c r="C9" s="27" t="str">
        <f>IF(EEAOP[[#This Row],[Client]]&lt;&gt;"","Montgomery","")</f>
        <v/>
      </c>
      <c r="D9" s="27" t="str">
        <f>IF(EEAOP[[#This Row],[Client]]&lt;&gt;"","EEAOP","")</f>
        <v/>
      </c>
      <c r="H9" s="40"/>
      <c r="I9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9" s="40" t="str" cm="1">
        <f t="array" ref="J9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9" s="40" t="str" cm="1">
        <f t="array" ref="K9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9" s="40" t="str" cm="1">
        <f t="array" ref="L9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9" s="27" t="str">
        <f>IF(OR(EEAOP[[#This Row],[Energy Savings]]="", EEAOP[[#This Row],[Emission Factor]]=""), "", EEAOP[[#This Row],[Energy Savings]] * EEAOP[[#This Row],[Emission Factor]])</f>
        <v/>
      </c>
      <c r="N9" s="27" t="str">
        <f>IF(EEAOP[[#This Row],[Emission Factor]]&lt;&gt;"", "Metric Tons", "")</f>
        <v/>
      </c>
      <c r="O9" s="37" t="str" cm="1">
        <f t="array" ref="O9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0" spans="2:15" ht="20" customHeight="1" x14ac:dyDescent="0.2">
      <c r="C10" s="27" t="str">
        <f>IF(EEAOP[[#This Row],[Client]]&lt;&gt;"","Montgomery","")</f>
        <v/>
      </c>
      <c r="D10" s="27" t="str">
        <f>IF(EEAOP[[#This Row],[Client]]&lt;&gt;"","EEAOP","")</f>
        <v/>
      </c>
      <c r="H10" s="40"/>
      <c r="I10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0" s="40" t="str" cm="1">
        <f t="array" ref="J10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0" s="40" t="str" cm="1">
        <f t="array" ref="K10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0" s="40" t="str" cm="1">
        <f t="array" ref="L10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0" s="27" t="str">
        <f>IF(OR(EEAOP[[#This Row],[Energy Savings]]="", EEAOP[[#This Row],[Emission Factor]]=""), "", EEAOP[[#This Row],[Energy Savings]] * EEAOP[[#This Row],[Emission Factor]])</f>
        <v/>
      </c>
      <c r="N10" s="27" t="str">
        <f>IF(EEAOP[[#This Row],[Emission Factor]]&lt;&gt;"", "Metric Tons", "")</f>
        <v/>
      </c>
      <c r="O10" s="37" t="str" cm="1">
        <f t="array" ref="O10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1" spans="2:15" ht="20" customHeight="1" x14ac:dyDescent="0.2">
      <c r="C11" s="27" t="str">
        <f>IF(EEAOP[[#This Row],[Client]]&lt;&gt;"","Montgomery","")</f>
        <v/>
      </c>
      <c r="D11" s="27" t="str">
        <f>IF(EEAOP[[#This Row],[Client]]&lt;&gt;"","EEAOP","")</f>
        <v/>
      </c>
      <c r="H11" s="40"/>
      <c r="I11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1" s="40" t="str" cm="1">
        <f t="array" ref="J11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1" s="40" t="str" cm="1">
        <f t="array" ref="K11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1" s="40" t="str" cm="1">
        <f t="array" ref="L11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1" s="27" t="str">
        <f>IF(OR(EEAOP[[#This Row],[Energy Savings]]="", EEAOP[[#This Row],[Emission Factor]]=""), "", EEAOP[[#This Row],[Energy Savings]] * EEAOP[[#This Row],[Emission Factor]])</f>
        <v/>
      </c>
      <c r="N11" s="27" t="str">
        <f>IF(EEAOP[[#This Row],[Emission Factor]]&lt;&gt;"", "Metric Tons", "")</f>
        <v/>
      </c>
      <c r="O11" s="37" t="str" cm="1">
        <f t="array" ref="O11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2" spans="2:15" ht="20" customHeight="1" x14ac:dyDescent="0.2">
      <c r="C12" s="27" t="str">
        <f>IF(EEAOP[[#This Row],[Client]]&lt;&gt;"","Montgomery","")</f>
        <v/>
      </c>
      <c r="D12" s="27" t="str">
        <f>IF(EEAOP[[#This Row],[Client]]&lt;&gt;"","EEAOP","")</f>
        <v/>
      </c>
      <c r="H12" s="40"/>
      <c r="I12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2" s="40" t="str" cm="1">
        <f t="array" ref="J12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2" s="40" t="str" cm="1">
        <f t="array" ref="K12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2" s="40" t="str" cm="1">
        <f t="array" ref="L12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2" s="27" t="str">
        <f>IF(OR(EEAOP[[#This Row],[Energy Savings]]="", EEAOP[[#This Row],[Emission Factor]]=""), "", EEAOP[[#This Row],[Energy Savings]] * EEAOP[[#This Row],[Emission Factor]])</f>
        <v/>
      </c>
      <c r="N12" s="27" t="str">
        <f>IF(EEAOP[[#This Row],[Emission Factor]]&lt;&gt;"", "Metric Tons", "")</f>
        <v/>
      </c>
      <c r="O12" s="37" t="str" cm="1">
        <f t="array" ref="O12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3" spans="2:15" ht="20" customHeight="1" x14ac:dyDescent="0.2">
      <c r="C13" s="27" t="str">
        <f>IF(EEAOP[[#This Row],[Client]]&lt;&gt;"","Montgomery","")</f>
        <v/>
      </c>
      <c r="D13" s="27" t="str">
        <f>IF(EEAOP[[#This Row],[Client]]&lt;&gt;"","EEAOP","")</f>
        <v/>
      </c>
      <c r="H13" s="40"/>
      <c r="I13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3" s="40" t="str" cm="1">
        <f t="array" ref="J13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3" s="40" t="str" cm="1">
        <f t="array" ref="K13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3" s="40" t="str" cm="1">
        <f t="array" ref="L13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3" s="27" t="str">
        <f>IF(OR(EEAOP[[#This Row],[Energy Savings]]="", EEAOP[[#This Row],[Emission Factor]]=""), "", EEAOP[[#This Row],[Energy Savings]] * EEAOP[[#This Row],[Emission Factor]])</f>
        <v/>
      </c>
      <c r="N13" s="27" t="str">
        <f>IF(EEAOP[[#This Row],[Emission Factor]]&lt;&gt;"", "Metric Tons", "")</f>
        <v/>
      </c>
      <c r="O13" s="37" t="str" cm="1">
        <f t="array" ref="O13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4" spans="2:15" ht="20" customHeight="1" x14ac:dyDescent="0.2">
      <c r="C14" s="27" t="str">
        <f>IF(EEAOP[[#This Row],[Client]]&lt;&gt;"","Montgomery","")</f>
        <v/>
      </c>
      <c r="D14" s="27" t="str">
        <f>IF(EEAOP[[#This Row],[Client]]&lt;&gt;"","EEAOP","")</f>
        <v/>
      </c>
      <c r="H14" s="40"/>
      <c r="I14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4" s="40" t="str" cm="1">
        <f t="array" ref="J14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4" s="40" t="str" cm="1">
        <f t="array" ref="K14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4" s="40" t="str" cm="1">
        <f t="array" ref="L14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4" s="27" t="str">
        <f>IF(OR(EEAOP[[#This Row],[Energy Savings]]="", EEAOP[[#This Row],[Emission Factor]]=""), "", EEAOP[[#This Row],[Energy Savings]] * EEAOP[[#This Row],[Emission Factor]])</f>
        <v/>
      </c>
      <c r="N14" s="27" t="str">
        <f>IF(EEAOP[[#This Row],[Emission Factor]]&lt;&gt;"", "Metric Tons", "")</f>
        <v/>
      </c>
      <c r="O14" s="37" t="str" cm="1">
        <f t="array" ref="O14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5" spans="2:15" ht="20" customHeight="1" x14ac:dyDescent="0.2">
      <c r="C15" s="27" t="str">
        <f>IF(EEAOP[[#This Row],[Client]]&lt;&gt;"","Montgomery","")</f>
        <v/>
      </c>
      <c r="D15" s="27" t="str">
        <f>IF(EEAOP[[#This Row],[Client]]&lt;&gt;"","EEAOP","")</f>
        <v/>
      </c>
      <c r="H15" s="40"/>
      <c r="I15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5" s="40" t="str" cm="1">
        <f t="array" ref="J15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5" s="40" t="str" cm="1">
        <f t="array" ref="K15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5" s="40" t="str" cm="1">
        <f t="array" ref="L15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5" s="27" t="str">
        <f>IF(OR(EEAOP[[#This Row],[Energy Savings]]="", EEAOP[[#This Row],[Emission Factor]]=""), "", EEAOP[[#This Row],[Energy Savings]] * EEAOP[[#This Row],[Emission Factor]])</f>
        <v/>
      </c>
      <c r="N15" s="27" t="str">
        <f>IF(EEAOP[[#This Row],[Emission Factor]]&lt;&gt;"", "Metric Tons", "")</f>
        <v/>
      </c>
      <c r="O15" s="37" t="str" cm="1">
        <f t="array" ref="O15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6" spans="2:15" ht="20" customHeight="1" x14ac:dyDescent="0.2">
      <c r="C16" s="27" t="str">
        <f>IF(EEAOP[[#This Row],[Client]]&lt;&gt;"","Montgomery","")</f>
        <v/>
      </c>
      <c r="D16" s="27" t="str">
        <f>IF(EEAOP[[#This Row],[Client]]&lt;&gt;"","EEAOP","")</f>
        <v/>
      </c>
      <c r="H16" s="40"/>
      <c r="I16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6" s="40" t="str" cm="1">
        <f t="array" ref="J16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6" s="40" t="str" cm="1">
        <f t="array" ref="K16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6" s="40" t="str" cm="1">
        <f t="array" ref="L16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6" s="27" t="str">
        <f>IF(OR(EEAOP[[#This Row],[Energy Savings]]="", EEAOP[[#This Row],[Emission Factor]]=""), "", EEAOP[[#This Row],[Energy Savings]] * EEAOP[[#This Row],[Emission Factor]])</f>
        <v/>
      </c>
      <c r="N16" s="27" t="str">
        <f>IF(EEAOP[[#This Row],[Emission Factor]]&lt;&gt;"", "Metric Tons", "")</f>
        <v/>
      </c>
      <c r="O16" s="37" t="str" cm="1">
        <f t="array" ref="O16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7" spans="3:15" ht="20" customHeight="1" x14ac:dyDescent="0.2">
      <c r="C17" s="27" t="str">
        <f>IF(EEAOP[[#This Row],[Client]]&lt;&gt;"","Montgomery","")</f>
        <v/>
      </c>
      <c r="D17" s="27" t="str">
        <f>IF(EEAOP[[#This Row],[Client]]&lt;&gt;"","EEAOP","")</f>
        <v/>
      </c>
      <c r="H17" s="40"/>
      <c r="I17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7" s="40" t="str" cm="1">
        <f t="array" ref="J17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7" s="40" t="str" cm="1">
        <f t="array" ref="K17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7" s="40" t="str" cm="1">
        <f t="array" ref="L17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7" s="27" t="str">
        <f>IF(OR(EEAOP[[#This Row],[Energy Savings]]="", EEAOP[[#This Row],[Emission Factor]]=""), "", EEAOP[[#This Row],[Energy Savings]] * EEAOP[[#This Row],[Emission Factor]])</f>
        <v/>
      </c>
      <c r="N17" s="27" t="str">
        <f>IF(EEAOP[[#This Row],[Emission Factor]]&lt;&gt;"", "Metric Tons", "")</f>
        <v/>
      </c>
      <c r="O17" s="37" t="str" cm="1">
        <f t="array" ref="O17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8" spans="3:15" ht="20" customHeight="1" x14ac:dyDescent="0.2">
      <c r="C18" s="27" t="str">
        <f>IF(EEAOP[[#This Row],[Client]]&lt;&gt;"","Montgomery","")</f>
        <v/>
      </c>
      <c r="D18" s="27" t="str">
        <f>IF(EEAOP[[#This Row],[Client]]&lt;&gt;"","EEAOP","")</f>
        <v/>
      </c>
      <c r="H18" s="40"/>
      <c r="I18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8" s="40" t="str" cm="1">
        <f t="array" ref="J18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8" s="40" t="str" cm="1">
        <f t="array" ref="K18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8" s="40" t="str" cm="1">
        <f t="array" ref="L18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8" s="27" t="str">
        <f>IF(OR(EEAOP[[#This Row],[Energy Savings]]="", EEAOP[[#This Row],[Emission Factor]]=""), "", EEAOP[[#This Row],[Energy Savings]] * EEAOP[[#This Row],[Emission Factor]])</f>
        <v/>
      </c>
      <c r="N18" s="27" t="str">
        <f>IF(EEAOP[[#This Row],[Emission Factor]]&lt;&gt;"", "Metric Tons", "")</f>
        <v/>
      </c>
      <c r="O18" s="37" t="str" cm="1">
        <f t="array" ref="O18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19" spans="3:15" ht="20" customHeight="1" x14ac:dyDescent="0.2">
      <c r="C19" s="27" t="str">
        <f>IF(EEAOP[[#This Row],[Client]]&lt;&gt;"","Montgomery","")</f>
        <v/>
      </c>
      <c r="D19" s="27" t="str">
        <f>IF(EEAOP[[#This Row],[Client]]&lt;&gt;"","EEAOP","")</f>
        <v/>
      </c>
      <c r="H19" s="40"/>
      <c r="I19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19" s="40" t="str" cm="1">
        <f t="array" ref="J19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19" s="40" t="str" cm="1">
        <f t="array" ref="K19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19" s="40" t="str" cm="1">
        <f t="array" ref="L19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19" s="27" t="str">
        <f>IF(OR(EEAOP[[#This Row],[Energy Savings]]="", EEAOP[[#This Row],[Emission Factor]]=""), "", EEAOP[[#This Row],[Energy Savings]] * EEAOP[[#This Row],[Emission Factor]])</f>
        <v/>
      </c>
      <c r="N19" s="27" t="str">
        <f>IF(EEAOP[[#This Row],[Emission Factor]]&lt;&gt;"", "Metric Tons", "")</f>
        <v/>
      </c>
      <c r="O19" s="37" t="str" cm="1">
        <f t="array" ref="O19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20" spans="3:15" ht="20" customHeight="1" x14ac:dyDescent="0.2">
      <c r="C20" s="27" t="str">
        <f>IF(EEAOP[[#This Row],[Client]]&lt;&gt;"","Montgomery","")</f>
        <v/>
      </c>
      <c r="D20" s="27" t="str">
        <f>IF(EEAOP[[#This Row],[Client]]&lt;&gt;"","EEAOP","")</f>
        <v/>
      </c>
      <c r="H20" s="40"/>
      <c r="I20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20" s="40" t="str" cm="1">
        <f t="array" ref="J20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20" s="40" t="str" cm="1">
        <f t="array" ref="K20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20" s="40" t="str" cm="1">
        <f t="array" ref="L20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20" s="27" t="str">
        <f>IF(OR(EEAOP[[#This Row],[Energy Savings]]="", EEAOP[[#This Row],[Emission Factor]]=""), "", EEAOP[[#This Row],[Energy Savings]] * EEAOP[[#This Row],[Emission Factor]])</f>
        <v/>
      </c>
      <c r="N20" s="27" t="str">
        <f>IF(EEAOP[[#This Row],[Emission Factor]]&lt;&gt;"", "Metric Tons", "")</f>
        <v/>
      </c>
      <c r="O20" s="37" t="str" cm="1">
        <f t="array" ref="O20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21" spans="3:15" ht="20" customHeight="1" x14ac:dyDescent="0.2">
      <c r="C21" s="27" t="str">
        <f>IF(EEAOP[[#This Row],[Client]]&lt;&gt;"","Montgomery","")</f>
        <v/>
      </c>
      <c r="D21" s="27" t="str">
        <f>IF(EEAOP[[#This Row],[Client]]&lt;&gt;"","EEAOP","")</f>
        <v/>
      </c>
      <c r="H21" s="40"/>
      <c r="I21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21" s="40" t="str" cm="1">
        <f t="array" ref="J21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21" s="40" t="str" cm="1">
        <f t="array" ref="K21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21" s="40" t="str" cm="1">
        <f t="array" ref="L21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21" s="27" t="str">
        <f>IF(OR(EEAOP[[#This Row],[Energy Savings]]="", EEAOP[[#This Row],[Emission Factor]]=""), "", EEAOP[[#This Row],[Energy Savings]] * EEAOP[[#This Row],[Emission Factor]])</f>
        <v/>
      </c>
      <c r="N21" s="27" t="str">
        <f>IF(EEAOP[[#This Row],[Emission Factor]]&lt;&gt;"", "Metric Tons", "")</f>
        <v/>
      </c>
      <c r="O21" s="37" t="str" cm="1">
        <f t="array" ref="O21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  <row r="22" spans="3:15" ht="20" customHeight="1" x14ac:dyDescent="0.2">
      <c r="C22" s="27" t="str">
        <f>IF(EEAOP[[#This Row],[Client]]&lt;&gt;"","Montgomery","")</f>
        <v/>
      </c>
      <c r="D22" s="27" t="str">
        <f>IF(EEAOP[[#This Row],[Client]]&lt;&gt;"","EEAOP","")</f>
        <v/>
      </c>
      <c r="H22" s="40"/>
      <c r="I22" s="40" t="str">
        <f xml:space="preserve"> IF(AND(EEAOP[[#This Row],[Energy Usage Before]]&lt;&gt;"",EEAOP[[#This Row],[Energy Usage After]]&lt;&gt;""), EEAOP[[#This Row],[Energy Usage Before]] - EEAOP[[#This Row],[Energy Usage After]], "")</f>
        <v/>
      </c>
      <c r="J22" s="40" t="str" cm="1">
        <f t="array" ref="J22">_xlfn.IFS(
    EEAOP[[#This Row],[Energy Source]]="", "",
    OR(EEAOP[[#This Row],[Energy Source]]="Propane",EEAOP[[#This Row],[Energy Source]]="Oil", EEAOP[[#This Row],[Energy Source]]="Diesel"), "Gallons",
    EEAOP[[#This Row],[Energy Source]]="Electricity", "kWh",
    EEAOP[[#This Row],[Energy Source]]="Natural Gas", "Therms"
)</f>
        <v/>
      </c>
      <c r="K22" s="40" t="str" cm="1">
        <f t="array" ref="K22">IF(EEAOP[[#This Row],[Energy Source]]="", "", _xlfn.IFS(
    EEAOP[[#This Row],[Energy Source]]="Electricity", Electricity_CO2e_Factor,
    EEAOP[[#This Row],[Energy Source]]="Propane", Propane_CO2e_Factor,
    EEAOP[[#This Row],[Energy Source]]="Oil", Oil_CO2e_Factor,
    EEAOP[[#This Row],[Energy Source]]="Natural Gas", Natural_Gas_CO2e_Factor,
    EEAOP[[#This Row],[Energy Source]]="Diesel", Diesel_CO2e_Factor
))</f>
        <v/>
      </c>
      <c r="L22" s="40" t="str" cm="1">
        <f t="array" ref="L22">IF(EEAOP[[#This Row],[Energy Source]]="", "", _xlfn.IFS(
    EEAOP[[#This Row],[Energy Source]]="Electricity", "MT/kWh",
    EEAOP[[#This Row],[Energy Source]]="Propane", "MT/Gallon",
    EEAOP[[#This Row],[Energy Source]]="Oil", "MT/Gallon",
    EEAOP[[#This Row],[Energy Source]]="Natural Gas", "MT/Therm",
    EEAOP[[#This Row],[Energy Source]]="Diesel", "MT/Gallon"
))</f>
        <v/>
      </c>
      <c r="M22" s="27" t="str">
        <f>IF(OR(EEAOP[[#This Row],[Energy Savings]]="", EEAOP[[#This Row],[Emission Factor]]=""), "", EEAOP[[#This Row],[Energy Savings]] * EEAOP[[#This Row],[Emission Factor]])</f>
        <v/>
      </c>
      <c r="N22" s="27" t="str">
        <f>IF(EEAOP[[#This Row],[Emission Factor]]&lt;&gt;"", "Metric Tons", "")</f>
        <v/>
      </c>
      <c r="O22" s="37" t="str" cm="1">
        <f t="array" ref="O22">_xlfn.IFS(OR(EEAOP[[#This Row],[Energy Source]]="", EEAOP[[#This Row],[Energy Savings]]=""), "", EEAOP[[#This Row],[Energy Source]]="Oil", EEAOP[[#This Row],[Energy Savings]] * OilUnitCost, EEAOP[[#This Row],[Energy Source]]="Natural Gas", EEAOP[[#This Row],[Energy Savings]] * Natural_GasUnitCost, EEAOP[[#This Row],[Energy Source]]="Electricity", EEAOP[[#This Row],[Energy Savings]] * ElectricityUnitCost, EEAOP[[#This Row],[Energy Source]]="Propane", EEAOP[[#This Row],[Energy Savings]] *PropaneUnitCost, EEAOP[[#This Row],[Energy Source]]="Diesel", EEAOP[[#This Row],[Energy Savings]] * DieselUnitCost)</f>
        <v/>
      </c>
    </row>
  </sheetData>
  <phoneticPr fontId="5" type="noConversion"/>
  <dataValidations count="4">
    <dataValidation type="list" allowBlank="1" showInputMessage="1" showErrorMessage="1" sqref="E4:E22" xr:uid="{6DC4AD01-1D5A-FD4C-A933-228CC389CD70}">
      <formula1>"Electrification, Weatherization, Weatherization &amp; Electrification"</formula1>
    </dataValidation>
    <dataValidation type="list" allowBlank="1" showInputMessage="1" showErrorMessage="1" sqref="F4:F22" xr:uid="{CBA0DC84-F900-A545-BC2F-426475BD701B}">
      <formula1>" , Electricity, Natural Gas, Oil, Propane, Diesel"</formula1>
    </dataValidation>
    <dataValidation type="whole" operator="greaterThanOrEqual" allowBlank="1" showInputMessage="1" showErrorMessage="1" sqref="G4:H22" xr:uid="{9DA9F13F-E9E8-B647-AAFC-E02DA91BE7E8}">
      <formula1>0</formula1>
    </dataValidation>
    <dataValidation operator="notEqual" showInputMessage="1" showErrorMessage="1" sqref="I4:I22" xr:uid="{ADEBD529-EB62-AB46-BE79-052CCA44BC4C}"/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1479-1656-3D4F-B35A-0930A807A8A1}">
  <dimension ref="B2:Q46"/>
  <sheetViews>
    <sheetView showGridLines="0" zoomScale="75" workbookViewId="0">
      <selection activeCell="C36" sqref="C36"/>
    </sheetView>
  </sheetViews>
  <sheetFormatPr baseColWidth="10" defaultColWidth="25.83203125" defaultRowHeight="20" customHeight="1" x14ac:dyDescent="0.2"/>
  <cols>
    <col min="1" max="1" width="12.83203125" style="27" customWidth="1"/>
    <col min="2" max="16384" width="25.83203125" style="27"/>
  </cols>
  <sheetData>
    <row r="2" spans="2:17" ht="20" customHeight="1" x14ac:dyDescent="0.2">
      <c r="B2" s="38" t="s">
        <v>78</v>
      </c>
    </row>
    <row r="3" spans="2:17" ht="20" customHeight="1" x14ac:dyDescent="0.2">
      <c r="B3" s="27" t="s">
        <v>33</v>
      </c>
      <c r="C3" s="27" t="s">
        <v>34</v>
      </c>
      <c r="D3" s="27" t="s">
        <v>35</v>
      </c>
      <c r="E3" s="27" t="s">
        <v>36</v>
      </c>
      <c r="F3" s="27" t="s">
        <v>77</v>
      </c>
      <c r="G3" s="27" t="s">
        <v>90</v>
      </c>
      <c r="H3" s="27" t="s">
        <v>91</v>
      </c>
      <c r="I3" s="27" t="s">
        <v>92</v>
      </c>
      <c r="J3" s="27" t="s">
        <v>76</v>
      </c>
      <c r="K3" s="27" t="s">
        <v>42</v>
      </c>
      <c r="L3" s="27" t="s">
        <v>38</v>
      </c>
      <c r="M3" s="27" t="s">
        <v>39</v>
      </c>
      <c r="N3" s="27" t="s">
        <v>40</v>
      </c>
      <c r="O3" s="27" t="s">
        <v>41</v>
      </c>
      <c r="P3" s="27" t="s">
        <v>73</v>
      </c>
    </row>
    <row r="4" spans="2:17" ht="20" customHeight="1" x14ac:dyDescent="0.2">
      <c r="B4" s="27" t="s">
        <v>113</v>
      </c>
      <c r="C4" s="27" t="s">
        <v>106</v>
      </c>
      <c r="D4" s="27" t="str">
        <f>IF(MEA_SEE[[#This Row],[Client]]&lt;&gt;"","MEA SEE","")</f>
        <v>MEA SEE</v>
      </c>
      <c r="E4" s="27" t="str">
        <f>IF(MEA_SEE[[#This Row],[Client]]&lt;&gt;"","Solar","")</f>
        <v>Solar</v>
      </c>
      <c r="F4" s="27" t="str">
        <f>IF(MEA_SEE[[#This Row],[Project Type]]="","", "Electricity")</f>
        <v>Electricity</v>
      </c>
      <c r="G4" s="27">
        <v>90</v>
      </c>
      <c r="H4" s="40">
        <v>5</v>
      </c>
      <c r="I4" s="40">
        <f>IF( MEA_SEE[[#This Row],[Solar Square Footage]]&lt;&gt;"", MEA_SEE[[#This Row],[Solar Square Footage]]* EnergyPerFt, "")</f>
        <v>94.5</v>
      </c>
      <c r="J4" s="40">
        <f>IF(AND(MEA_SEE[[#This Row],[Electricity Usage Before]]&lt;&gt;"",MEA_SEE[[#This Row],[Solar Power Generated]]&lt;&gt;""),MIN(MEA_SEE[[#This Row],[Electricity Usage Before]],MEA_SEE[[#This Row],[Solar Power Generated]]),"")</f>
        <v>90</v>
      </c>
      <c r="K4" s="40" t="str">
        <f>IF(MEA_SEE[[#This Row],[Solar Power Generated]]="","","kWh")</f>
        <v>kWh</v>
      </c>
      <c r="L4" s="40">
        <f>IF(MEA_SEE[[#This Row],[Energy Savings]]="", "", Electricity_CO2e_Factor)</f>
        <v>2.7080961343821001E-4</v>
      </c>
      <c r="M4" s="37" t="str">
        <f>IF(MEA_SEE[[#This Row],[Emission Factor]]="","","MT/kWh")</f>
        <v>MT/kWh</v>
      </c>
      <c r="N4" s="40">
        <f>IF(MEA_SEE[[#This Row],[Energy Savings]]="", "", MEA_SEE[[#This Row],[Emission Factor]] *MEA_SEE[[#This Row],[Energy Savings]])</f>
        <v>2.4372865209438901E-2</v>
      </c>
      <c r="O4" s="37" t="str">
        <f>IF(MEA_SEE[[#This Row],[GHG Emission Savings]]&lt;&gt;"", "Metric Tons", "")</f>
        <v>Metric Tons</v>
      </c>
      <c r="P4" s="37">
        <f>IF(MEA_SEE[[#This Row],[Energy Savings]]="","", MEA_SEE[[#This Row],[Energy Savings]]* ElectricityUnitCost)</f>
        <v>12.600000000000001</v>
      </c>
      <c r="Q4" s="37"/>
    </row>
    <row r="5" spans="2:17" ht="20" customHeight="1" x14ac:dyDescent="0.2">
      <c r="B5" s="27" t="s">
        <v>114</v>
      </c>
      <c r="C5" s="27" t="s">
        <v>106</v>
      </c>
      <c r="D5" s="27" t="str">
        <f>IF(MEA_SEE[[#This Row],[Client]]&lt;&gt;"","MEA SEE","")</f>
        <v>MEA SEE</v>
      </c>
      <c r="E5" s="27" t="str">
        <f>IF(MEA_SEE[[#This Row],[Client]]&lt;&gt;"","Solar","")</f>
        <v>Solar</v>
      </c>
      <c r="F5" s="27" t="str">
        <f>IF(MEA_SEE[[#This Row],[Project Type]]="","", "Electricity")</f>
        <v>Electricity</v>
      </c>
      <c r="G5" s="27">
        <v>30</v>
      </c>
      <c r="H5" s="40">
        <v>5</v>
      </c>
      <c r="I5" s="40">
        <f>IF( MEA_SEE[[#This Row],[Solar Square Footage]]&lt;&gt;"", MEA_SEE[[#This Row],[Solar Square Footage]]* EnergyPerFt, "")</f>
        <v>94.5</v>
      </c>
      <c r="J5" s="40">
        <f>IF(AND(MEA_SEE[[#This Row],[Electricity Usage Before]]&lt;&gt;"",MEA_SEE[[#This Row],[Solar Power Generated]]&lt;&gt;""),MIN(MEA_SEE[[#This Row],[Electricity Usage Before]],MEA_SEE[[#This Row],[Solar Power Generated]]),"")</f>
        <v>30</v>
      </c>
      <c r="K5" s="40" t="str">
        <f>IF(MEA_SEE[[#This Row],[Solar Power Generated]]="","","kWh")</f>
        <v>kWh</v>
      </c>
      <c r="L5" s="40">
        <f>IF(MEA_SEE[[#This Row],[Energy Savings]]="", "", Electricity_CO2e_Factor)</f>
        <v>2.7080961343821001E-4</v>
      </c>
      <c r="M5" s="37" t="str">
        <f>IF(MEA_SEE[[#This Row],[Emission Factor]]="","","MT/kWh")</f>
        <v>MT/kWh</v>
      </c>
      <c r="N5" s="40">
        <f>IF(MEA_SEE[[#This Row],[Energy Savings]]="", "", MEA_SEE[[#This Row],[Emission Factor]] *MEA_SEE[[#This Row],[Energy Savings]])</f>
        <v>8.1242884031462997E-3</v>
      </c>
      <c r="O5" s="37" t="str">
        <f>IF(MEA_SEE[[#This Row],[GHG Emission Savings]]&lt;&gt;"", "Metric Tons", "")</f>
        <v>Metric Tons</v>
      </c>
      <c r="P5" s="37">
        <f>IF(MEA_SEE[[#This Row],[Energy Savings]]="","", MEA_SEE[[#This Row],[Energy Savings]]* ElectricityUnitCost)</f>
        <v>4.2</v>
      </c>
      <c r="Q5" s="37"/>
    </row>
    <row r="6" spans="2:17" ht="20" customHeight="1" x14ac:dyDescent="0.2">
      <c r="D6" s="27" t="str">
        <f>IF(MEA_SEE[[#This Row],[Client]]&lt;&gt;"","MEA SEE","")</f>
        <v/>
      </c>
      <c r="E6" s="27" t="str">
        <f>IF(MEA_SEE[[#This Row],[Client]]&lt;&gt;"","Solar","")</f>
        <v/>
      </c>
      <c r="F6" s="27" t="str">
        <f>IF(MEA_SEE[[#This Row],[Project Type]]="","", "Electricity")</f>
        <v/>
      </c>
      <c r="H6" s="40"/>
      <c r="I6" s="40" t="str">
        <f>IF( MEA_SEE[[#This Row],[Solar Square Footage]]&lt;&gt;"", MEA_SEE[[#This Row],[Solar Square Footage]]* EnergyPerFt, "")</f>
        <v/>
      </c>
      <c r="J6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6" s="40" t="str">
        <f>IF(MEA_SEE[[#This Row],[Solar Power Generated]]="","","kWh")</f>
        <v/>
      </c>
      <c r="L6" s="40" t="str">
        <f>IF(MEA_SEE[[#This Row],[Energy Savings]]="", "", Electricity_CO2e_Factor)</f>
        <v/>
      </c>
      <c r="M6" s="37" t="str">
        <f>IF(MEA_SEE[[#This Row],[Emission Factor]]="","","MT/kWh")</f>
        <v/>
      </c>
      <c r="N6" s="40" t="str">
        <f>IF(MEA_SEE[[#This Row],[Energy Savings]]="", "", MEA_SEE[[#This Row],[Emission Factor]] *MEA_SEE[[#This Row],[Energy Savings]])</f>
        <v/>
      </c>
      <c r="O6" s="37" t="str">
        <f>IF(MEA_SEE[[#This Row],[GHG Emission Savings]]&lt;&gt;"", "Metric Tons", "")</f>
        <v/>
      </c>
      <c r="P6" s="37" t="str">
        <f>IF(MEA_SEE[[#This Row],[Energy Savings]]="","", MEA_SEE[[#This Row],[Energy Savings]]* ElectricityUnitCost)</f>
        <v/>
      </c>
      <c r="Q6" s="37"/>
    </row>
    <row r="7" spans="2:17" ht="20" customHeight="1" x14ac:dyDescent="0.2">
      <c r="D7" s="27" t="str">
        <f>IF(MEA_SEE[[#This Row],[Client]]&lt;&gt;"","MEA SEE","")</f>
        <v/>
      </c>
      <c r="E7" s="27" t="str">
        <f>IF(MEA_SEE[[#This Row],[Client]]&lt;&gt;"","Solar","")</f>
        <v/>
      </c>
      <c r="F7" s="27" t="str">
        <f>IF(MEA_SEE[[#This Row],[Project Type]]="","", "Electricity")</f>
        <v/>
      </c>
      <c r="H7" s="40"/>
      <c r="I7" s="40" t="str">
        <f>IF( MEA_SEE[[#This Row],[Solar Square Footage]]&lt;&gt;"", MEA_SEE[[#This Row],[Solar Square Footage]]* EnergyPerFt, "")</f>
        <v/>
      </c>
      <c r="J7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7" s="40" t="str">
        <f>IF(MEA_SEE[[#This Row],[Solar Power Generated]]="","","kWh")</f>
        <v/>
      </c>
      <c r="L7" s="40" t="str">
        <f>IF(MEA_SEE[[#This Row],[Energy Savings]]="", "", Electricity_CO2e_Factor)</f>
        <v/>
      </c>
      <c r="M7" s="37" t="str">
        <f>IF(MEA_SEE[[#This Row],[Emission Factor]]="","","MT/kWh")</f>
        <v/>
      </c>
      <c r="N7" s="40" t="str">
        <f>IF(MEA_SEE[[#This Row],[Energy Savings]]="", "", MEA_SEE[[#This Row],[Emission Factor]] *MEA_SEE[[#This Row],[Energy Savings]])</f>
        <v/>
      </c>
      <c r="O7" s="37" t="str">
        <f>IF(MEA_SEE[[#This Row],[GHG Emission Savings]]&lt;&gt;"", "Metric Tons", "")</f>
        <v/>
      </c>
      <c r="P7" s="37" t="str">
        <f>IF(MEA_SEE[[#This Row],[Energy Savings]]="","", MEA_SEE[[#This Row],[Energy Savings]]* ElectricityUnitCost)</f>
        <v/>
      </c>
      <c r="Q7" s="37"/>
    </row>
    <row r="8" spans="2:17" ht="20" customHeight="1" x14ac:dyDescent="0.2">
      <c r="D8" s="27" t="str">
        <f>IF(MEA_SEE[[#This Row],[Client]]&lt;&gt;"","MEA SEE","")</f>
        <v/>
      </c>
      <c r="E8" s="27" t="str">
        <f>IF(MEA_SEE[[#This Row],[Client]]&lt;&gt;"","Solar","")</f>
        <v/>
      </c>
      <c r="F8" s="27" t="str">
        <f>IF(MEA_SEE[[#This Row],[Project Type]]="","", "Electricity")</f>
        <v/>
      </c>
      <c r="H8" s="40"/>
      <c r="I8" s="40" t="str">
        <f>IF( MEA_SEE[[#This Row],[Solar Square Footage]]&lt;&gt;"", MEA_SEE[[#This Row],[Solar Square Footage]]* EnergyPerFt, "")</f>
        <v/>
      </c>
      <c r="J8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8" s="40" t="str">
        <f>IF(MEA_SEE[[#This Row],[Solar Power Generated]]="","","kWh")</f>
        <v/>
      </c>
      <c r="L8" s="40" t="str">
        <f>IF(MEA_SEE[[#This Row],[Energy Savings]]="", "", Electricity_CO2e_Factor)</f>
        <v/>
      </c>
      <c r="M8" s="37" t="str">
        <f>IF(MEA_SEE[[#This Row],[Emission Factor]]="","","MT/kWh")</f>
        <v/>
      </c>
      <c r="N8" s="40" t="str">
        <f>IF(MEA_SEE[[#This Row],[Energy Savings]]="", "", MEA_SEE[[#This Row],[Emission Factor]] *MEA_SEE[[#This Row],[Energy Savings]])</f>
        <v/>
      </c>
      <c r="O8" s="37" t="str">
        <f>IF(MEA_SEE[[#This Row],[GHG Emission Savings]]&lt;&gt;"", "Metric Tons", "")</f>
        <v/>
      </c>
      <c r="P8" s="37" t="str">
        <f>IF(MEA_SEE[[#This Row],[Energy Savings]]="","", MEA_SEE[[#This Row],[Energy Savings]]* ElectricityUnitCost)</f>
        <v/>
      </c>
      <c r="Q8" s="37"/>
    </row>
    <row r="9" spans="2:17" ht="20" customHeight="1" x14ac:dyDescent="0.2">
      <c r="D9" s="27" t="str">
        <f>IF(MEA_SEE[[#This Row],[Client]]&lt;&gt;"","MEA SEE","")</f>
        <v/>
      </c>
      <c r="E9" s="27" t="str">
        <f>IF(MEA_SEE[[#This Row],[Client]]&lt;&gt;"","Solar","")</f>
        <v/>
      </c>
      <c r="F9" s="27" t="str">
        <f>IF(MEA_SEE[[#This Row],[Project Type]]="","", "Electricity")</f>
        <v/>
      </c>
      <c r="H9" s="40"/>
      <c r="I9" s="40" t="str">
        <f>IF( MEA_SEE[[#This Row],[Solar Square Footage]]&lt;&gt;"", MEA_SEE[[#This Row],[Solar Square Footage]]* EnergyPerFt, "")</f>
        <v/>
      </c>
      <c r="J9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9" s="40" t="str">
        <f>IF(MEA_SEE[[#This Row],[Solar Power Generated]]="","","kWh")</f>
        <v/>
      </c>
      <c r="L9" s="40" t="str">
        <f>IF(MEA_SEE[[#This Row],[Energy Savings]]="", "", Electricity_CO2e_Factor)</f>
        <v/>
      </c>
      <c r="M9" s="37" t="str">
        <f>IF(MEA_SEE[[#This Row],[Emission Factor]]="","","MT/kWh")</f>
        <v/>
      </c>
      <c r="N9" s="40" t="str">
        <f>IF(MEA_SEE[[#This Row],[Energy Savings]]="", "", MEA_SEE[[#This Row],[Emission Factor]] *MEA_SEE[[#This Row],[Energy Savings]])</f>
        <v/>
      </c>
      <c r="O9" s="37" t="str">
        <f>IF(MEA_SEE[[#This Row],[GHG Emission Savings]]&lt;&gt;"", "Metric Tons", "")</f>
        <v/>
      </c>
      <c r="P9" s="37" t="str">
        <f>IF(MEA_SEE[[#This Row],[Energy Savings]]="","", MEA_SEE[[#This Row],[Energy Savings]]* ElectricityUnitCost)</f>
        <v/>
      </c>
      <c r="Q9" s="37"/>
    </row>
    <row r="10" spans="2:17" ht="20" customHeight="1" x14ac:dyDescent="0.2">
      <c r="D10" s="27" t="str">
        <f>IF(MEA_SEE[[#This Row],[Client]]&lt;&gt;"","MEA SEE","")</f>
        <v/>
      </c>
      <c r="E10" s="27" t="str">
        <f>IF(MEA_SEE[[#This Row],[Client]]&lt;&gt;"","Solar","")</f>
        <v/>
      </c>
      <c r="F10" s="27" t="str">
        <f>IF(MEA_SEE[[#This Row],[Project Type]]="","", "Electricity")</f>
        <v/>
      </c>
      <c r="H10" s="40"/>
      <c r="I10" s="40" t="str">
        <f>IF( MEA_SEE[[#This Row],[Solar Square Footage]]&lt;&gt;"", MEA_SEE[[#This Row],[Solar Square Footage]]* EnergyPerFt, "")</f>
        <v/>
      </c>
      <c r="J10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0" s="40" t="str">
        <f>IF(MEA_SEE[[#This Row],[Solar Power Generated]]="","","kWh")</f>
        <v/>
      </c>
      <c r="L10" s="40" t="str">
        <f>IF(MEA_SEE[[#This Row],[Energy Savings]]="", "", Electricity_CO2e_Factor)</f>
        <v/>
      </c>
      <c r="M10" s="37" t="str">
        <f>IF(MEA_SEE[[#This Row],[Emission Factor]]="","","MT/kWh")</f>
        <v/>
      </c>
      <c r="N10" s="40" t="str">
        <f>IF(MEA_SEE[[#This Row],[Energy Savings]]="", "", MEA_SEE[[#This Row],[Emission Factor]] *MEA_SEE[[#This Row],[Energy Savings]])</f>
        <v/>
      </c>
      <c r="O10" s="37" t="str">
        <f>IF(MEA_SEE[[#This Row],[GHG Emission Savings]]&lt;&gt;"", "Metric Tons", "")</f>
        <v/>
      </c>
      <c r="P10" s="37" t="str">
        <f>IF(MEA_SEE[[#This Row],[Energy Savings]]="","", MEA_SEE[[#This Row],[Energy Savings]]* ElectricityUnitCost)</f>
        <v/>
      </c>
      <c r="Q10" s="37"/>
    </row>
    <row r="11" spans="2:17" ht="20" customHeight="1" x14ac:dyDescent="0.2">
      <c r="D11" s="27" t="str">
        <f>IF(MEA_SEE[[#This Row],[Client]]&lt;&gt;"","MEA SEE","")</f>
        <v/>
      </c>
      <c r="E11" s="27" t="str">
        <f>IF(MEA_SEE[[#This Row],[Client]]&lt;&gt;"","Solar","")</f>
        <v/>
      </c>
      <c r="F11" s="27" t="str">
        <f>IF(MEA_SEE[[#This Row],[Project Type]]="","", "Electricity")</f>
        <v/>
      </c>
      <c r="H11" s="40"/>
      <c r="I11" s="40" t="str">
        <f>IF( MEA_SEE[[#This Row],[Solar Square Footage]]&lt;&gt;"", MEA_SEE[[#This Row],[Solar Square Footage]]* EnergyPerFt, "")</f>
        <v/>
      </c>
      <c r="J11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1" s="40" t="str">
        <f>IF(MEA_SEE[[#This Row],[Solar Power Generated]]="","","kWh")</f>
        <v/>
      </c>
      <c r="L11" s="40" t="str">
        <f>IF(MEA_SEE[[#This Row],[Energy Savings]]="", "", Electricity_CO2e_Factor)</f>
        <v/>
      </c>
      <c r="M11" s="37" t="str">
        <f>IF(MEA_SEE[[#This Row],[Emission Factor]]="","","MT/kWh")</f>
        <v/>
      </c>
      <c r="N11" s="40" t="str">
        <f>IF(MEA_SEE[[#This Row],[Energy Savings]]="", "", MEA_SEE[[#This Row],[Emission Factor]] *MEA_SEE[[#This Row],[Energy Savings]])</f>
        <v/>
      </c>
      <c r="O11" s="37" t="str">
        <f>IF(MEA_SEE[[#This Row],[GHG Emission Savings]]&lt;&gt;"", "Metric Tons", "")</f>
        <v/>
      </c>
      <c r="P11" s="37" t="str">
        <f>IF(MEA_SEE[[#This Row],[Energy Savings]]="","", MEA_SEE[[#This Row],[Energy Savings]]* ElectricityUnitCost)</f>
        <v/>
      </c>
      <c r="Q11" s="37"/>
    </row>
    <row r="12" spans="2:17" ht="20" customHeight="1" x14ac:dyDescent="0.2">
      <c r="D12" s="27" t="str">
        <f>IF(MEA_SEE[[#This Row],[Client]]&lt;&gt;"","MEA SEE","")</f>
        <v/>
      </c>
      <c r="E12" s="27" t="str">
        <f>IF(MEA_SEE[[#This Row],[Client]]&lt;&gt;"","Solar","")</f>
        <v/>
      </c>
      <c r="F12" s="27" t="str">
        <f>IF(MEA_SEE[[#This Row],[Project Type]]="","", "Electricity")</f>
        <v/>
      </c>
      <c r="H12" s="40"/>
      <c r="I12" s="40" t="str">
        <f>IF( MEA_SEE[[#This Row],[Solar Square Footage]]&lt;&gt;"", MEA_SEE[[#This Row],[Solar Square Footage]]* EnergyPerFt, "")</f>
        <v/>
      </c>
      <c r="J12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2" s="40" t="str">
        <f>IF(MEA_SEE[[#This Row],[Solar Power Generated]]="","","kWh")</f>
        <v/>
      </c>
      <c r="L12" s="40" t="str">
        <f>IF(MEA_SEE[[#This Row],[Energy Savings]]="", "", Electricity_CO2e_Factor)</f>
        <v/>
      </c>
      <c r="M12" s="37" t="str">
        <f>IF(MEA_SEE[[#This Row],[Emission Factor]]="","","MT/kWh")</f>
        <v/>
      </c>
      <c r="N12" s="40" t="str">
        <f>IF(MEA_SEE[[#This Row],[Energy Savings]]="", "", MEA_SEE[[#This Row],[Emission Factor]] *MEA_SEE[[#This Row],[Energy Savings]])</f>
        <v/>
      </c>
      <c r="O12" s="37" t="str">
        <f>IF(MEA_SEE[[#This Row],[GHG Emission Savings]]&lt;&gt;"", "Metric Tons", "")</f>
        <v/>
      </c>
      <c r="P12" s="37" t="str">
        <f>IF(MEA_SEE[[#This Row],[Energy Savings]]="","", MEA_SEE[[#This Row],[Energy Savings]]* ElectricityUnitCost)</f>
        <v/>
      </c>
      <c r="Q12" s="37"/>
    </row>
    <row r="13" spans="2:17" ht="20" customHeight="1" x14ac:dyDescent="0.2">
      <c r="D13" s="27" t="str">
        <f>IF(MEA_SEE[[#This Row],[Client]]&lt;&gt;"","MEA SEE","")</f>
        <v/>
      </c>
      <c r="E13" s="27" t="str">
        <f>IF(MEA_SEE[[#This Row],[Client]]&lt;&gt;"","Solar","")</f>
        <v/>
      </c>
      <c r="F13" s="27" t="str">
        <f>IF(MEA_SEE[[#This Row],[Project Type]]="","", "Electricity")</f>
        <v/>
      </c>
      <c r="H13" s="40"/>
      <c r="I13" s="40" t="str">
        <f>IF( MEA_SEE[[#This Row],[Solar Square Footage]]&lt;&gt;"", MEA_SEE[[#This Row],[Solar Square Footage]]* EnergyPerFt, "")</f>
        <v/>
      </c>
      <c r="J13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3" s="40" t="str">
        <f>IF(MEA_SEE[[#This Row],[Solar Power Generated]]="","","kWh")</f>
        <v/>
      </c>
      <c r="L13" s="40" t="str">
        <f>IF(MEA_SEE[[#This Row],[Energy Savings]]="", "", Electricity_CO2e_Factor)</f>
        <v/>
      </c>
      <c r="M13" s="37" t="str">
        <f>IF(MEA_SEE[[#This Row],[Emission Factor]]="","","MT/kWh")</f>
        <v/>
      </c>
      <c r="N13" s="40" t="str">
        <f>IF(MEA_SEE[[#This Row],[Energy Savings]]="", "", MEA_SEE[[#This Row],[Emission Factor]] *MEA_SEE[[#This Row],[Energy Savings]])</f>
        <v/>
      </c>
      <c r="O13" s="37" t="str">
        <f>IF(MEA_SEE[[#This Row],[GHG Emission Savings]]&lt;&gt;"", "Metric Tons", "")</f>
        <v/>
      </c>
      <c r="P13" s="37" t="str">
        <f>IF(MEA_SEE[[#This Row],[Energy Savings]]="","", MEA_SEE[[#This Row],[Energy Savings]]* ElectricityUnitCost)</f>
        <v/>
      </c>
      <c r="Q13" s="37"/>
    </row>
    <row r="14" spans="2:17" ht="20" customHeight="1" x14ac:dyDescent="0.2">
      <c r="D14" s="27" t="str">
        <f>IF(MEA_SEE[[#This Row],[Client]]&lt;&gt;"","MEA SEE","")</f>
        <v/>
      </c>
      <c r="E14" s="27" t="str">
        <f>IF(MEA_SEE[[#This Row],[Client]]&lt;&gt;"","Solar","")</f>
        <v/>
      </c>
      <c r="F14" s="27" t="str">
        <f>IF(MEA_SEE[[#This Row],[Project Type]]="","", "Electricity")</f>
        <v/>
      </c>
      <c r="H14" s="40"/>
      <c r="I14" s="40" t="str">
        <f>IF( MEA_SEE[[#This Row],[Solar Square Footage]]&lt;&gt;"", MEA_SEE[[#This Row],[Solar Square Footage]]* EnergyPerFt, "")</f>
        <v/>
      </c>
      <c r="J14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4" s="40" t="str">
        <f>IF(MEA_SEE[[#This Row],[Solar Power Generated]]="","","kWh")</f>
        <v/>
      </c>
      <c r="L14" s="40" t="str">
        <f>IF(MEA_SEE[[#This Row],[Energy Savings]]="", "", Electricity_CO2e_Factor)</f>
        <v/>
      </c>
      <c r="M14" s="37" t="str">
        <f>IF(MEA_SEE[[#This Row],[Emission Factor]]="","","MT/kWh")</f>
        <v/>
      </c>
      <c r="N14" s="40" t="str">
        <f>IF(MEA_SEE[[#This Row],[Energy Savings]]="", "", MEA_SEE[[#This Row],[Emission Factor]] *MEA_SEE[[#This Row],[Energy Savings]])</f>
        <v/>
      </c>
      <c r="O14" s="37" t="str">
        <f>IF(MEA_SEE[[#This Row],[GHG Emission Savings]]&lt;&gt;"", "Metric Tons", "")</f>
        <v/>
      </c>
      <c r="P14" s="37" t="str">
        <f>IF(MEA_SEE[[#This Row],[Energy Savings]]="","", MEA_SEE[[#This Row],[Energy Savings]]* ElectricityUnitCost)</f>
        <v/>
      </c>
      <c r="Q14" s="37"/>
    </row>
    <row r="15" spans="2:17" ht="20" customHeight="1" x14ac:dyDescent="0.2">
      <c r="D15" s="27" t="str">
        <f>IF(MEA_SEE[[#This Row],[Client]]&lt;&gt;"","MEA SEE","")</f>
        <v/>
      </c>
      <c r="E15" s="27" t="str">
        <f>IF(MEA_SEE[[#This Row],[Client]]&lt;&gt;"","Solar","")</f>
        <v/>
      </c>
      <c r="F15" s="27" t="str">
        <f>IF(MEA_SEE[[#This Row],[Project Type]]="","", "Electricity")</f>
        <v/>
      </c>
      <c r="H15" s="40"/>
      <c r="I15" s="40" t="str">
        <f>IF( MEA_SEE[[#This Row],[Solar Square Footage]]&lt;&gt;"", MEA_SEE[[#This Row],[Solar Square Footage]]* EnergyPerFt, "")</f>
        <v/>
      </c>
      <c r="J15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5" s="40" t="str">
        <f>IF(MEA_SEE[[#This Row],[Solar Power Generated]]="","","kWh")</f>
        <v/>
      </c>
      <c r="L15" s="40" t="str">
        <f>IF(MEA_SEE[[#This Row],[Energy Savings]]="", "", Electricity_CO2e_Factor)</f>
        <v/>
      </c>
      <c r="M15" s="37" t="str">
        <f>IF(MEA_SEE[[#This Row],[Emission Factor]]="","","MT/kWh")</f>
        <v/>
      </c>
      <c r="N15" s="40" t="str">
        <f>IF(MEA_SEE[[#This Row],[Energy Savings]]="", "", MEA_SEE[[#This Row],[Emission Factor]] *MEA_SEE[[#This Row],[Energy Savings]])</f>
        <v/>
      </c>
      <c r="O15" s="37" t="str">
        <f>IF(MEA_SEE[[#This Row],[GHG Emission Savings]]&lt;&gt;"", "Metric Tons", "")</f>
        <v/>
      </c>
      <c r="P15" s="37" t="str">
        <f>IF(MEA_SEE[[#This Row],[Energy Savings]]="","", MEA_SEE[[#This Row],[Energy Savings]]* ElectricityUnitCost)</f>
        <v/>
      </c>
      <c r="Q15" s="37"/>
    </row>
    <row r="16" spans="2:17" ht="20" customHeight="1" x14ac:dyDescent="0.2">
      <c r="D16" s="27" t="str">
        <f>IF(MEA_SEE[[#This Row],[Client]]&lt;&gt;"","MEA SEE","")</f>
        <v/>
      </c>
      <c r="E16" s="27" t="str">
        <f>IF(MEA_SEE[[#This Row],[Client]]&lt;&gt;"","Solar","")</f>
        <v/>
      </c>
      <c r="F16" s="27" t="str">
        <f>IF(MEA_SEE[[#This Row],[Project Type]]="","", "Electricity")</f>
        <v/>
      </c>
      <c r="H16" s="40"/>
      <c r="I16" s="40" t="str">
        <f>IF( MEA_SEE[[#This Row],[Solar Square Footage]]&lt;&gt;"", MEA_SEE[[#This Row],[Solar Square Footage]]* EnergyPerFt, "")</f>
        <v/>
      </c>
      <c r="J16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6" s="40" t="str">
        <f>IF(MEA_SEE[[#This Row],[Solar Power Generated]]="","","kWh")</f>
        <v/>
      </c>
      <c r="L16" s="40" t="str">
        <f>IF(MEA_SEE[[#This Row],[Energy Savings]]="", "", Electricity_CO2e_Factor)</f>
        <v/>
      </c>
      <c r="M16" s="37" t="str">
        <f>IF(MEA_SEE[[#This Row],[Emission Factor]]="","","MT/kWh")</f>
        <v/>
      </c>
      <c r="N16" s="40" t="str">
        <f>IF(MEA_SEE[[#This Row],[Energy Savings]]="", "", MEA_SEE[[#This Row],[Emission Factor]] *MEA_SEE[[#This Row],[Energy Savings]])</f>
        <v/>
      </c>
      <c r="O16" s="37" t="str">
        <f>IF(MEA_SEE[[#This Row],[GHG Emission Savings]]&lt;&gt;"", "Metric Tons", "")</f>
        <v/>
      </c>
      <c r="P16" s="37" t="str">
        <f>IF(MEA_SEE[[#This Row],[Energy Savings]]="","", MEA_SEE[[#This Row],[Energy Savings]]* ElectricityUnitCost)</f>
        <v/>
      </c>
      <c r="Q16" s="37"/>
    </row>
    <row r="17" spans="2:17" ht="20" customHeight="1" x14ac:dyDescent="0.2">
      <c r="D17" s="27" t="str">
        <f>IF(MEA_SEE[[#This Row],[Client]]&lt;&gt;"","MEA SEE","")</f>
        <v/>
      </c>
      <c r="E17" s="27" t="str">
        <f>IF(MEA_SEE[[#This Row],[Client]]&lt;&gt;"","Solar","")</f>
        <v/>
      </c>
      <c r="F17" s="27" t="str">
        <f>IF(MEA_SEE[[#This Row],[Project Type]]="","", "Electricity")</f>
        <v/>
      </c>
      <c r="H17" s="40"/>
      <c r="I17" s="40" t="str">
        <f>IF( MEA_SEE[[#This Row],[Solar Square Footage]]&lt;&gt;"", MEA_SEE[[#This Row],[Solar Square Footage]]* EnergyPerFt, "")</f>
        <v/>
      </c>
      <c r="J17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7" s="40" t="str">
        <f>IF(MEA_SEE[[#This Row],[Solar Power Generated]]="","","kWh")</f>
        <v/>
      </c>
      <c r="L17" s="40" t="str">
        <f>IF(MEA_SEE[[#This Row],[Energy Savings]]="", "", Electricity_CO2e_Factor)</f>
        <v/>
      </c>
      <c r="M17" s="37" t="str">
        <f>IF(MEA_SEE[[#This Row],[Emission Factor]]="","","MT/kWh")</f>
        <v/>
      </c>
      <c r="N17" s="40" t="str">
        <f>IF(MEA_SEE[[#This Row],[Energy Savings]]="", "", MEA_SEE[[#This Row],[Emission Factor]] *MEA_SEE[[#This Row],[Energy Savings]])</f>
        <v/>
      </c>
      <c r="O17" s="37" t="str">
        <f>IF(MEA_SEE[[#This Row],[GHG Emission Savings]]&lt;&gt;"", "Metric Tons", "")</f>
        <v/>
      </c>
      <c r="P17" s="37" t="str">
        <f>IF(MEA_SEE[[#This Row],[Energy Savings]]="","", MEA_SEE[[#This Row],[Energy Savings]]* ElectricityUnitCost)</f>
        <v/>
      </c>
      <c r="Q17" s="37"/>
    </row>
    <row r="18" spans="2:17" ht="20" customHeight="1" x14ac:dyDescent="0.2">
      <c r="D18" s="27" t="str">
        <f>IF(MEA_SEE[[#This Row],[Client]]&lt;&gt;"","MEA SEE","")</f>
        <v/>
      </c>
      <c r="E18" s="27" t="str">
        <f>IF(MEA_SEE[[#This Row],[Client]]&lt;&gt;"","Solar","")</f>
        <v/>
      </c>
      <c r="F18" s="27" t="str">
        <f>IF(MEA_SEE[[#This Row],[Project Type]]="","", "Electricity")</f>
        <v/>
      </c>
      <c r="H18" s="40"/>
      <c r="I18" s="40" t="str">
        <f>IF( MEA_SEE[[#This Row],[Solar Square Footage]]&lt;&gt;"", MEA_SEE[[#This Row],[Solar Square Footage]]* EnergyPerFt, "")</f>
        <v/>
      </c>
      <c r="J18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8" s="40" t="str">
        <f>IF(MEA_SEE[[#This Row],[Solar Power Generated]]="","","kWh")</f>
        <v/>
      </c>
      <c r="L18" s="40" t="str">
        <f>IF(MEA_SEE[[#This Row],[Energy Savings]]="", "", Electricity_CO2e_Factor)</f>
        <v/>
      </c>
      <c r="M18" s="37" t="str">
        <f>IF(MEA_SEE[[#This Row],[Emission Factor]]="","","MT/kWh")</f>
        <v/>
      </c>
      <c r="N18" s="40" t="str">
        <f>IF(MEA_SEE[[#This Row],[Energy Savings]]="", "", MEA_SEE[[#This Row],[Emission Factor]] *MEA_SEE[[#This Row],[Energy Savings]])</f>
        <v/>
      </c>
      <c r="O18" s="37" t="str">
        <f>IF(MEA_SEE[[#This Row],[GHG Emission Savings]]&lt;&gt;"", "Metric Tons", "")</f>
        <v/>
      </c>
      <c r="P18" s="37" t="str">
        <f>IF(MEA_SEE[[#This Row],[Energy Savings]]="","", MEA_SEE[[#This Row],[Energy Savings]]* ElectricityUnitCost)</f>
        <v/>
      </c>
      <c r="Q18" s="37"/>
    </row>
    <row r="19" spans="2:17" ht="20" customHeight="1" x14ac:dyDescent="0.2">
      <c r="D19" s="27" t="str">
        <f>IF(MEA_SEE[[#This Row],[Client]]&lt;&gt;"","MEA SEE","")</f>
        <v/>
      </c>
      <c r="E19" s="27" t="str">
        <f>IF(MEA_SEE[[#This Row],[Client]]&lt;&gt;"","Solar","")</f>
        <v/>
      </c>
      <c r="F19" s="27" t="str">
        <f>IF(MEA_SEE[[#This Row],[Project Type]]="","", "Electricity")</f>
        <v/>
      </c>
      <c r="H19" s="40"/>
      <c r="I19" s="40" t="str">
        <f>IF( MEA_SEE[[#This Row],[Solar Square Footage]]&lt;&gt;"", MEA_SEE[[#This Row],[Solar Square Footage]]* EnergyPerFt, "")</f>
        <v/>
      </c>
      <c r="J19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19" s="40" t="str">
        <f>IF(MEA_SEE[[#This Row],[Solar Power Generated]]="","","kWh")</f>
        <v/>
      </c>
      <c r="L19" s="40" t="str">
        <f>IF(MEA_SEE[[#This Row],[Energy Savings]]="", "", Electricity_CO2e_Factor)</f>
        <v/>
      </c>
      <c r="M19" s="37" t="str">
        <f>IF(MEA_SEE[[#This Row],[Emission Factor]]="","","MT/kWh")</f>
        <v/>
      </c>
      <c r="N19" s="40" t="str">
        <f>IF(MEA_SEE[[#This Row],[Energy Savings]]="", "", MEA_SEE[[#This Row],[Emission Factor]] *MEA_SEE[[#This Row],[Energy Savings]])</f>
        <v/>
      </c>
      <c r="O19" s="37" t="str">
        <f>IF(MEA_SEE[[#This Row],[GHG Emission Savings]]&lt;&gt;"", "Metric Tons", "")</f>
        <v/>
      </c>
      <c r="P19" s="37" t="str">
        <f>IF(MEA_SEE[[#This Row],[Energy Savings]]="","", MEA_SEE[[#This Row],[Energy Savings]]* ElectricityUnitCost)</f>
        <v/>
      </c>
      <c r="Q19" s="37"/>
    </row>
    <row r="20" spans="2:17" ht="20" customHeight="1" x14ac:dyDescent="0.2">
      <c r="D20" s="27" t="str">
        <f>IF(MEA_SEE[[#This Row],[Client]]&lt;&gt;"","MEA SEE","")</f>
        <v/>
      </c>
      <c r="E20" s="27" t="str">
        <f>IF(MEA_SEE[[#This Row],[Client]]&lt;&gt;"","Solar","")</f>
        <v/>
      </c>
      <c r="F20" s="27" t="str">
        <f>IF(MEA_SEE[[#This Row],[Project Type]]="","", "Electricity")</f>
        <v/>
      </c>
      <c r="H20" s="40"/>
      <c r="I20" s="40" t="str">
        <f>IF( MEA_SEE[[#This Row],[Solar Square Footage]]&lt;&gt;"", MEA_SEE[[#This Row],[Solar Square Footage]]* EnergyPerFt, "")</f>
        <v/>
      </c>
      <c r="J20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20" s="40" t="str">
        <f>IF(MEA_SEE[[#This Row],[Solar Power Generated]]="","","kWh")</f>
        <v/>
      </c>
      <c r="L20" s="40" t="str">
        <f>IF(MEA_SEE[[#This Row],[Energy Savings]]="", "", Electricity_CO2e_Factor)</f>
        <v/>
      </c>
      <c r="M20" s="37" t="str">
        <f>IF(MEA_SEE[[#This Row],[Emission Factor]]="","","MT/kWh")</f>
        <v/>
      </c>
      <c r="N20" s="40" t="str">
        <f>IF(MEA_SEE[[#This Row],[Energy Savings]]="", "", MEA_SEE[[#This Row],[Emission Factor]] *MEA_SEE[[#This Row],[Energy Savings]])</f>
        <v/>
      </c>
      <c r="O20" s="37" t="str">
        <f>IF(MEA_SEE[[#This Row],[GHG Emission Savings]]&lt;&gt;"", "Metric Tons", "")</f>
        <v/>
      </c>
      <c r="P20" s="37" t="str">
        <f>IF(MEA_SEE[[#This Row],[Energy Savings]]="","", MEA_SEE[[#This Row],[Energy Savings]]* ElectricityUnitCost)</f>
        <v/>
      </c>
      <c r="Q20" s="37"/>
    </row>
    <row r="21" spans="2:17" ht="20" customHeight="1" x14ac:dyDescent="0.2">
      <c r="D21" s="27" t="str">
        <f>IF(MEA_SEE[[#This Row],[Client]]&lt;&gt;"","MEA SEE","")</f>
        <v/>
      </c>
      <c r="E21" s="27" t="str">
        <f>IF(MEA_SEE[[#This Row],[Client]]&lt;&gt;"","Solar","")</f>
        <v/>
      </c>
      <c r="F21" s="27" t="str">
        <f>IF(MEA_SEE[[#This Row],[Project Type]]="","", "Electricity")</f>
        <v/>
      </c>
      <c r="H21" s="40"/>
      <c r="I21" s="40" t="str">
        <f>IF( MEA_SEE[[#This Row],[Solar Square Footage]]&lt;&gt;"", MEA_SEE[[#This Row],[Solar Square Footage]]* EnergyPerFt, "")</f>
        <v/>
      </c>
      <c r="J21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21" s="40" t="str">
        <f>IF(MEA_SEE[[#This Row],[Solar Power Generated]]="","","kWh")</f>
        <v/>
      </c>
      <c r="L21" s="40" t="str">
        <f>IF(MEA_SEE[[#This Row],[Energy Savings]]="", "", Electricity_CO2e_Factor)</f>
        <v/>
      </c>
      <c r="M21" s="37" t="str">
        <f>IF(MEA_SEE[[#This Row],[Emission Factor]]="","","MT/kWh")</f>
        <v/>
      </c>
      <c r="N21" s="40" t="str">
        <f>IF(MEA_SEE[[#This Row],[Energy Savings]]="", "", MEA_SEE[[#This Row],[Emission Factor]] *MEA_SEE[[#This Row],[Energy Savings]])</f>
        <v/>
      </c>
      <c r="O21" s="37" t="str">
        <f>IF(MEA_SEE[[#This Row],[GHG Emission Savings]]&lt;&gt;"", "Metric Tons", "")</f>
        <v/>
      </c>
      <c r="P21" s="37" t="str">
        <f>IF(MEA_SEE[[#This Row],[Energy Savings]]="","", MEA_SEE[[#This Row],[Energy Savings]]* ElectricityUnitCost)</f>
        <v/>
      </c>
      <c r="Q21" s="37"/>
    </row>
    <row r="22" spans="2:17" ht="20" customHeight="1" x14ac:dyDescent="0.2">
      <c r="D22" s="27" t="str">
        <f>IF(MEA_SEE[[#This Row],[Client]]&lt;&gt;"","MEA SEE","")</f>
        <v/>
      </c>
      <c r="E22" s="27" t="str">
        <f>IF(MEA_SEE[[#This Row],[Client]]&lt;&gt;"","Solar","")</f>
        <v/>
      </c>
      <c r="F22" s="27" t="str">
        <f>IF(MEA_SEE[[#This Row],[Project Type]]="","", "Electricity")</f>
        <v/>
      </c>
      <c r="H22" s="40"/>
      <c r="I22" s="40" t="str">
        <f>IF( MEA_SEE[[#This Row],[Solar Square Footage]]&lt;&gt;"", MEA_SEE[[#This Row],[Solar Square Footage]]* EnergyPerFt, "")</f>
        <v/>
      </c>
      <c r="J22" s="40" t="str">
        <f>IF(AND(MEA_SEE[[#This Row],[Electricity Usage Before]]&lt;&gt;"",MEA_SEE[[#This Row],[Solar Power Generated]]&lt;&gt;""),MIN(MEA_SEE[[#This Row],[Electricity Usage Before]],MEA_SEE[[#This Row],[Solar Power Generated]]),"")</f>
        <v/>
      </c>
      <c r="K22" s="40" t="str">
        <f>IF(MEA_SEE[[#This Row],[Solar Power Generated]]="","","kWh")</f>
        <v/>
      </c>
      <c r="L22" s="40" t="str">
        <f>IF(MEA_SEE[[#This Row],[Energy Savings]]="", "", Electricity_CO2e_Factor)</f>
        <v/>
      </c>
      <c r="M22" s="37" t="str">
        <f>IF(MEA_SEE[[#This Row],[Emission Factor]]="","","MT/kWh")</f>
        <v/>
      </c>
      <c r="N22" s="40" t="str">
        <f>IF(MEA_SEE[[#This Row],[Energy Savings]]="", "", MEA_SEE[[#This Row],[Emission Factor]] *MEA_SEE[[#This Row],[Energy Savings]])</f>
        <v/>
      </c>
      <c r="O22" s="37" t="str">
        <f>IF(MEA_SEE[[#This Row],[GHG Emission Savings]]&lt;&gt;"", "Metric Tons", "")</f>
        <v/>
      </c>
      <c r="P22" s="37" t="str">
        <f>IF(MEA_SEE[[#This Row],[Energy Savings]]="","", MEA_SEE[[#This Row],[Energy Savings]]* ElectricityUnitCost)</f>
        <v/>
      </c>
      <c r="Q22" s="37"/>
    </row>
    <row r="24" spans="2:17" ht="20" customHeight="1" x14ac:dyDescent="0.2">
      <c r="B24"/>
      <c r="C24"/>
      <c r="D24"/>
      <c r="E24"/>
    </row>
    <row r="25" spans="2:17" ht="20" customHeight="1" x14ac:dyDescent="0.2">
      <c r="B25"/>
      <c r="C25"/>
      <c r="D25"/>
      <c r="E25"/>
    </row>
    <row r="26" spans="2:17" ht="20" customHeight="1" x14ac:dyDescent="0.2">
      <c r="B26"/>
      <c r="C26"/>
      <c r="D26"/>
      <c r="E26"/>
    </row>
    <row r="27" spans="2:17" ht="20" customHeight="1" x14ac:dyDescent="0.2">
      <c r="B27"/>
      <c r="C27"/>
      <c r="D27"/>
      <c r="E27"/>
    </row>
    <row r="28" spans="2:17" ht="20" customHeight="1" x14ac:dyDescent="0.2">
      <c r="B28" s="30"/>
      <c r="C28"/>
      <c r="D28"/>
      <c r="E28"/>
    </row>
    <row r="29" spans="2:17" ht="20" customHeight="1" x14ac:dyDescent="0.2">
      <c r="B29"/>
      <c r="C29"/>
      <c r="D29"/>
      <c r="E29"/>
    </row>
    <row r="30" spans="2:17" ht="20" customHeight="1" x14ac:dyDescent="0.2">
      <c r="B30"/>
      <c r="C30"/>
      <c r="D30"/>
      <c r="E30"/>
    </row>
    <row r="31" spans="2:17" ht="20" customHeight="1" x14ac:dyDescent="0.2">
      <c r="B31"/>
      <c r="C31"/>
      <c r="D31"/>
      <c r="E31"/>
    </row>
    <row r="32" spans="2:17" ht="20" customHeight="1" x14ac:dyDescent="0.2">
      <c r="B32"/>
      <c r="C32"/>
      <c r="D32"/>
      <c r="E32"/>
    </row>
    <row r="35" spans="2:9" ht="20" customHeight="1" x14ac:dyDescent="0.2">
      <c r="B35"/>
      <c r="C35"/>
      <c r="D35"/>
      <c r="E35"/>
      <c r="F35"/>
      <c r="G35"/>
      <c r="H35"/>
      <c r="I35"/>
    </row>
    <row r="36" spans="2:9" ht="20" customHeight="1" x14ac:dyDescent="0.2">
      <c r="B36"/>
      <c r="C36"/>
      <c r="D36"/>
      <c r="E36"/>
      <c r="F36"/>
      <c r="G36"/>
      <c r="H36"/>
      <c r="I36"/>
    </row>
    <row r="37" spans="2:9" ht="20" customHeight="1" x14ac:dyDescent="0.2">
      <c r="B37"/>
      <c r="C37"/>
      <c r="D37"/>
      <c r="E37"/>
      <c r="F37"/>
      <c r="G37"/>
      <c r="H37"/>
      <c r="I37"/>
    </row>
    <row r="38" spans="2:9" ht="20" customHeight="1" x14ac:dyDescent="0.2">
      <c r="B38"/>
      <c r="C38"/>
      <c r="D38"/>
      <c r="E38"/>
      <c r="F38"/>
      <c r="G38"/>
      <c r="H38"/>
      <c r="I38"/>
    </row>
    <row r="39" spans="2:9" ht="20" customHeight="1" x14ac:dyDescent="0.2">
      <c r="B39"/>
      <c r="C39"/>
      <c r="D39"/>
      <c r="E39"/>
      <c r="F39"/>
      <c r="G39"/>
      <c r="H39"/>
      <c r="I39"/>
    </row>
    <row r="40" spans="2:9" ht="20" customHeight="1" x14ac:dyDescent="0.2">
      <c r="B40"/>
      <c r="C40"/>
      <c r="D40"/>
      <c r="E40"/>
      <c r="F40"/>
      <c r="G40"/>
      <c r="H40"/>
      <c r="I40"/>
    </row>
    <row r="41" spans="2:9" ht="20" customHeight="1" x14ac:dyDescent="0.2">
      <c r="B41"/>
      <c r="C41"/>
      <c r="D41"/>
      <c r="E41"/>
      <c r="F41"/>
      <c r="G41"/>
      <c r="H41"/>
      <c r="I41"/>
    </row>
    <row r="42" spans="2:9" ht="20" customHeight="1" x14ac:dyDescent="0.2">
      <c r="B42"/>
      <c r="C42"/>
      <c r="D42"/>
      <c r="E42"/>
      <c r="F42"/>
      <c r="G42"/>
      <c r="H42"/>
      <c r="I42"/>
    </row>
    <row r="43" spans="2:9" ht="20" customHeight="1" x14ac:dyDescent="0.2">
      <c r="B43"/>
      <c r="C43"/>
      <c r="D43"/>
      <c r="E43"/>
      <c r="F43"/>
      <c r="G43"/>
      <c r="H43"/>
      <c r="I43"/>
    </row>
    <row r="44" spans="2:9" ht="20" customHeight="1" x14ac:dyDescent="0.2">
      <c r="C44" s="32"/>
      <c r="D44" s="32"/>
      <c r="E44" s="33"/>
      <c r="F44" s="33"/>
      <c r="G44" s="33"/>
      <c r="H44" s="35"/>
    </row>
    <row r="45" spans="2:9" ht="20" customHeight="1" x14ac:dyDescent="0.2">
      <c r="C45" s="32"/>
      <c r="D45" s="32"/>
      <c r="E45" s="33"/>
      <c r="F45" s="33"/>
      <c r="G45" s="33"/>
      <c r="H45" s="35"/>
    </row>
    <row r="46" spans="2:9" ht="20" customHeight="1" x14ac:dyDescent="0.2">
      <c r="C46" s="32"/>
      <c r="D46" s="32"/>
      <c r="E46" s="33"/>
      <c r="F46" s="34"/>
      <c r="G46" s="33"/>
      <c r="H46" s="29"/>
    </row>
  </sheetData>
  <phoneticPr fontId="5" type="noConversion"/>
  <dataValidations count="6">
    <dataValidation type="list" allowBlank="1" showInputMessage="1" showErrorMessage="1" sqref="C44:C46" xr:uid="{FE70A8E7-CD83-FF4C-9AC6-762AA17AACFE}">
      <formula1>"Furnace, Heat Pump, Water Heater, Dishwasher, Refrigerator, Freezer, Clothes Washer, Clothes Dryer"</formula1>
    </dataValidation>
    <dataValidation type="list" allowBlank="1" showInputMessage="1" showErrorMessage="1" sqref="E44:E46" xr:uid="{7D6E0BB2-56DC-E243-8DCA-EB9ED4B3AA37}">
      <formula1>"Electricity, Natural Gas, Fuel Oil, Propane, Kerosene, Wood"</formula1>
    </dataValidation>
    <dataValidation type="list" allowBlank="1" showInputMessage="1" showErrorMessage="1" sqref="G44:G46" xr:uid="{FFDB7DF3-AFD1-F443-B9BD-76CF9E786590}">
      <formula1>"kWh, therms, gallons"</formula1>
    </dataValidation>
    <dataValidation type="decimal" operator="greaterThanOrEqual" allowBlank="1" showInputMessage="1" showErrorMessage="1" sqref="G4:G22" xr:uid="{CE22BCFD-BA7F-A24C-91F6-A7BED18CA2E7}">
      <formula1>0</formula1>
    </dataValidation>
    <dataValidation operator="notEqual" allowBlank="1" showInputMessage="1" showErrorMessage="1" sqref="J4:J22" xr:uid="{0FD3DDA7-5DCB-1544-A60E-61169A2AB36D}"/>
    <dataValidation type="list" allowBlank="1" showInputMessage="1" showErrorMessage="1" sqref="C4:C22" xr:uid="{19E9F6DC-9764-924E-A829-20E1D4E86FF1}">
      <formula1>"Montgomery, Prince George's"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6F7B-37B0-BA47-A1A0-B9CC1B79A00C}">
  <dimension ref="A1:M22"/>
  <sheetViews>
    <sheetView showGridLines="0" zoomScale="112" workbookViewId="0">
      <selection activeCell="H18" sqref="H18"/>
    </sheetView>
  </sheetViews>
  <sheetFormatPr baseColWidth="10" defaultColWidth="25.83203125" defaultRowHeight="20" customHeight="1" x14ac:dyDescent="0.2"/>
  <cols>
    <col min="1" max="1" width="12.83203125" style="27" customWidth="1"/>
    <col min="2" max="16384" width="25.83203125" style="27"/>
  </cols>
  <sheetData>
    <row r="1" spans="1:13" ht="20" customHeight="1" x14ac:dyDescent="0.2">
      <c r="A1" s="30"/>
    </row>
    <row r="2" spans="1:13" ht="20" customHeight="1" x14ac:dyDescent="0.2">
      <c r="A2" s="30"/>
      <c r="B2" s="38" t="s">
        <v>95</v>
      </c>
    </row>
    <row r="3" spans="1:13" ht="20" customHeight="1" x14ac:dyDescent="0.2">
      <c r="A3" s="30"/>
      <c r="B3" s="27" t="s">
        <v>33</v>
      </c>
      <c r="C3" s="27" t="s">
        <v>34</v>
      </c>
      <c r="D3" s="27" t="s">
        <v>35</v>
      </c>
      <c r="E3" s="27" t="s">
        <v>36</v>
      </c>
      <c r="F3" s="27" t="s">
        <v>37</v>
      </c>
      <c r="G3" s="27" t="s">
        <v>68</v>
      </c>
      <c r="H3" s="27" t="s">
        <v>42</v>
      </c>
      <c r="I3" s="27" t="s">
        <v>38</v>
      </c>
      <c r="J3" s="27" t="s">
        <v>39</v>
      </c>
      <c r="K3" s="27" t="s">
        <v>40</v>
      </c>
      <c r="L3" s="27" t="s">
        <v>41</v>
      </c>
      <c r="M3" s="27" t="s">
        <v>73</v>
      </c>
    </row>
    <row r="4" spans="1:13" ht="20" customHeight="1" x14ac:dyDescent="0.2">
      <c r="A4" s="30"/>
      <c r="B4" s="27" t="s">
        <v>115</v>
      </c>
      <c r="C4" s="27" t="s">
        <v>106</v>
      </c>
      <c r="D4" s="27" t="s">
        <v>110</v>
      </c>
      <c r="E4" s="27" t="s">
        <v>109</v>
      </c>
      <c r="F4" s="27" t="s">
        <v>2</v>
      </c>
      <c r="G4" s="27">
        <v>50</v>
      </c>
      <c r="H4" s="27" t="str" cm="1">
        <f t="array" ref="H4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4" s="27" cm="1">
        <f t="array" ref="I4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1.0242680000000001E-2</v>
      </c>
      <c r="J4" s="27" t="str" cm="1">
        <f t="array" ref="J4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4" s="27">
        <f>IF(OR(Audit_Reports[[#This Row],[Input Energy Savings]]="",Audit_Reports[[#This Row],[Emission Factor]]=""), "", Audit_Reports[[#This Row],[Input Energy Savings]] * Audit_Reports[[#This Row],[Emission Factor]])</f>
        <v>0.51213399999999998</v>
      </c>
      <c r="L4" s="27" t="str">
        <f>IF(Audit_Reports[[#This Row],[GHG Emission Savings]]&lt;&gt;"", "Metric Tons", "")</f>
        <v>Metric Tons</v>
      </c>
      <c r="M4" s="37" cm="1">
        <f t="array" ref="M4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206.5</v>
      </c>
    </row>
    <row r="5" spans="1:13" ht="20" customHeight="1" x14ac:dyDescent="0.2">
      <c r="A5" s="30"/>
      <c r="B5" s="27" t="s">
        <v>116</v>
      </c>
      <c r="C5" s="27" t="s">
        <v>107</v>
      </c>
      <c r="D5" s="27" t="s">
        <v>71</v>
      </c>
      <c r="E5" s="27" t="s">
        <v>117</v>
      </c>
      <c r="F5" s="27" t="s">
        <v>0</v>
      </c>
      <c r="G5" s="27">
        <v>600</v>
      </c>
      <c r="H5" s="27" t="str" cm="1">
        <f t="array" ref="H5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kWh</v>
      </c>
      <c r="I5" s="27" cm="1">
        <f t="array" ref="I5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2.7080961343821001E-4</v>
      </c>
      <c r="J5" s="27" t="str" cm="1">
        <f t="array" ref="J5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MT/kWh</v>
      </c>
      <c r="K5" s="27">
        <f>IF(OR(Audit_Reports[[#This Row],[Input Energy Savings]]="",Audit_Reports[[#This Row],[Emission Factor]]=""), "", Audit_Reports[[#This Row],[Input Energy Savings]] * Audit_Reports[[#This Row],[Emission Factor]])</f>
        <v>0.162485768062926</v>
      </c>
      <c r="L5" s="27" t="str">
        <f>IF(Audit_Reports[[#This Row],[GHG Emission Savings]]&lt;&gt;"", "Metric Tons", "")</f>
        <v>Metric Tons</v>
      </c>
      <c r="M5" s="37" cm="1">
        <f t="array" ref="M5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84.000000000000014</v>
      </c>
    </row>
    <row r="6" spans="1:13" ht="20" customHeight="1" x14ac:dyDescent="0.2">
      <c r="A6" s="30"/>
      <c r="B6" s="27" t="s">
        <v>121</v>
      </c>
      <c r="C6" s="27" t="s">
        <v>106</v>
      </c>
      <c r="D6" s="27" t="s">
        <v>71</v>
      </c>
      <c r="E6" s="27" t="s">
        <v>72</v>
      </c>
      <c r="F6" s="27" t="s">
        <v>1</v>
      </c>
      <c r="G6" s="27">
        <v>30</v>
      </c>
      <c r="H6" s="27" t="str" cm="1">
        <f t="array" ref="H6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6" s="27" cm="1">
        <f t="array" ref="I6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5.7408100000000007E-3</v>
      </c>
      <c r="J6" s="27" t="str" cm="1">
        <f t="array" ref="J6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6" s="27">
        <f>IF(OR(Audit_Reports[[#This Row],[Input Energy Savings]]="",Audit_Reports[[#This Row],[Emission Factor]]=""), "", Audit_Reports[[#This Row],[Input Energy Savings]] * Audit_Reports[[#This Row],[Emission Factor]])</f>
        <v>0.17222430000000002</v>
      </c>
      <c r="L6" s="27" t="str">
        <f>IF(Audit_Reports[[#This Row],[GHG Emission Savings]]&lt;&gt;"", "Metric Tons", "")</f>
        <v>Metric Tons</v>
      </c>
      <c r="M6" s="37" cm="1">
        <f t="array" ref="M6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187.20000000000002</v>
      </c>
    </row>
    <row r="7" spans="1:13" ht="20" customHeight="1" x14ac:dyDescent="0.2">
      <c r="A7" s="30"/>
      <c r="B7" s="27" t="s">
        <v>120</v>
      </c>
      <c r="C7" s="27" t="s">
        <v>107</v>
      </c>
      <c r="D7" s="27" t="s">
        <v>71</v>
      </c>
      <c r="E7" s="27" t="s">
        <v>72</v>
      </c>
      <c r="F7" s="27" t="s">
        <v>0</v>
      </c>
      <c r="G7" s="27">
        <v>540</v>
      </c>
      <c r="H7" s="27" t="str" cm="1">
        <f t="array" ref="H7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kWh</v>
      </c>
      <c r="I7" s="27" cm="1">
        <f t="array" ref="I7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2.7080961343821001E-4</v>
      </c>
      <c r="J7" s="27" t="str" cm="1">
        <f t="array" ref="J7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MT/kWh</v>
      </c>
      <c r="K7" s="27">
        <f>IF(OR(Audit_Reports[[#This Row],[Input Energy Savings]]="",Audit_Reports[[#This Row],[Emission Factor]]=""), "", Audit_Reports[[#This Row],[Input Energy Savings]] * Audit_Reports[[#This Row],[Emission Factor]])</f>
        <v>0.1462371912566334</v>
      </c>
      <c r="L7" s="27" t="str">
        <f>IF(Audit_Reports[[#This Row],[GHG Emission Savings]]&lt;&gt;"", "Metric Tons", "")</f>
        <v>Metric Tons</v>
      </c>
      <c r="M7" s="37" cm="1">
        <f t="array" ref="M7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75.600000000000009</v>
      </c>
    </row>
    <row r="8" spans="1:13" ht="20" customHeight="1" x14ac:dyDescent="0.2">
      <c r="A8" s="30"/>
      <c r="B8" s="27" t="s">
        <v>133</v>
      </c>
      <c r="C8" s="27" t="s">
        <v>106</v>
      </c>
      <c r="D8" s="27" t="s">
        <v>110</v>
      </c>
      <c r="E8" s="27" t="s">
        <v>72</v>
      </c>
      <c r="F8" s="27" t="s">
        <v>4</v>
      </c>
      <c r="G8" s="27">
        <v>300</v>
      </c>
      <c r="H8" s="27" t="str" cm="1">
        <f t="array" ref="H8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Therms</v>
      </c>
      <c r="I8" s="27" cm="1">
        <f t="array" ref="I8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5.3114366471734894E-3</v>
      </c>
      <c r="J8" s="27" t="str" cm="1">
        <f t="array" ref="J8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MT/Therm</v>
      </c>
      <c r="K8" s="27">
        <f>IF(OR(Audit_Reports[[#This Row],[Input Energy Savings]]="",Audit_Reports[[#This Row],[Emission Factor]]=""), "", Audit_Reports[[#This Row],[Input Energy Savings]] * Audit_Reports[[#This Row],[Emission Factor]])</f>
        <v>1.5934309941520468</v>
      </c>
      <c r="L8" s="27" t="str">
        <f>IF(Audit_Reports[[#This Row],[GHG Emission Savings]]&lt;&gt;"", "Metric Tons", "")</f>
        <v>Metric Tons</v>
      </c>
      <c r="M8" s="37" cm="1">
        <f t="array" ref="M8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360</v>
      </c>
    </row>
    <row r="9" spans="1:13" ht="20" customHeight="1" x14ac:dyDescent="0.2">
      <c r="A9" s="30"/>
      <c r="B9" s="27" t="s">
        <v>134</v>
      </c>
      <c r="C9" s="27" t="s">
        <v>106</v>
      </c>
      <c r="D9" s="27" t="s">
        <v>110</v>
      </c>
      <c r="E9" s="27" t="s">
        <v>72</v>
      </c>
      <c r="F9" s="27" t="s">
        <v>20</v>
      </c>
      <c r="G9" s="27">
        <v>30</v>
      </c>
      <c r="H9" s="27" t="str" cm="1">
        <f t="array" ref="H9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9" s="27" cm="1">
        <f t="array" ref="I9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1.0242680000000001E-2</v>
      </c>
      <c r="J9" s="27" t="str" cm="1">
        <f t="array" ref="J9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9" s="27">
        <f>IF(OR(Audit_Reports[[#This Row],[Input Energy Savings]]="",Audit_Reports[[#This Row],[Emission Factor]]=""), "", Audit_Reports[[#This Row],[Input Energy Savings]] * Audit_Reports[[#This Row],[Emission Factor]])</f>
        <v>0.30728040000000001</v>
      </c>
      <c r="L9" s="27" t="str">
        <f>IF(Audit_Reports[[#This Row],[GHG Emission Savings]]&lt;&gt;"", "Metric Tons", "")</f>
        <v>Metric Tons</v>
      </c>
      <c r="M9" s="37" cm="1">
        <f t="array" ref="M9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145.80000000000001</v>
      </c>
    </row>
    <row r="10" spans="1:13" ht="20" customHeight="1" x14ac:dyDescent="0.2">
      <c r="A10" s="30"/>
      <c r="B10" s="27" t="s">
        <v>135</v>
      </c>
      <c r="C10" s="27" t="s">
        <v>106</v>
      </c>
      <c r="D10" s="27" t="s">
        <v>110</v>
      </c>
      <c r="E10" s="27" t="s">
        <v>72</v>
      </c>
      <c r="F10" s="27" t="s">
        <v>0</v>
      </c>
      <c r="G10" s="27">
        <v>300</v>
      </c>
      <c r="H10" s="27" t="str" cm="1">
        <f t="array" ref="H10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kWh</v>
      </c>
      <c r="I10" s="27" cm="1">
        <f t="array" ref="I10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2.7080961343821001E-4</v>
      </c>
      <c r="J10" s="27" t="str" cm="1">
        <f t="array" ref="J10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MT/kWh</v>
      </c>
      <c r="K10" s="27">
        <f>IF(OR(Audit_Reports[[#This Row],[Input Energy Savings]]="",Audit_Reports[[#This Row],[Emission Factor]]=""), "", Audit_Reports[[#This Row],[Input Energy Savings]] * Audit_Reports[[#This Row],[Emission Factor]])</f>
        <v>8.1242884031463E-2</v>
      </c>
      <c r="L10" s="27" t="str">
        <f>IF(Audit_Reports[[#This Row],[GHG Emission Savings]]&lt;&gt;"", "Metric Tons", "")</f>
        <v>Metric Tons</v>
      </c>
      <c r="M10" s="37" cm="1">
        <f t="array" ref="M10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42.000000000000007</v>
      </c>
    </row>
    <row r="11" spans="1:13" ht="20" customHeight="1" x14ac:dyDescent="0.2">
      <c r="A11" s="30"/>
      <c r="B11" s="27" t="s">
        <v>138</v>
      </c>
      <c r="C11" s="27" t="s">
        <v>107</v>
      </c>
      <c r="D11" s="27" t="s">
        <v>110</v>
      </c>
      <c r="E11" s="27" t="s">
        <v>72</v>
      </c>
      <c r="F11" s="27" t="s">
        <v>2</v>
      </c>
      <c r="G11" s="27">
        <v>40</v>
      </c>
      <c r="H11" s="27" t="str" cm="1">
        <f t="array" ref="H11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11" s="27" cm="1">
        <f t="array" ref="I11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1.0242680000000001E-2</v>
      </c>
      <c r="J11" s="27" t="str" cm="1">
        <f t="array" ref="J11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11" s="27">
        <f>IF(OR(Audit_Reports[[#This Row],[Input Energy Savings]]="",Audit_Reports[[#This Row],[Emission Factor]]=""), "", Audit_Reports[[#This Row],[Input Energy Savings]] * Audit_Reports[[#This Row],[Emission Factor]])</f>
        <v>0.40970720000000005</v>
      </c>
      <c r="L11" s="27" t="str">
        <f>IF(Audit_Reports[[#This Row],[GHG Emission Savings]]&lt;&gt;"", "Metric Tons", "")</f>
        <v>Metric Tons</v>
      </c>
      <c r="M11" s="37" cm="1">
        <f t="array" ref="M11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165.2</v>
      </c>
    </row>
    <row r="12" spans="1:13" ht="20" customHeight="1" x14ac:dyDescent="0.2">
      <c r="A12" s="30"/>
      <c r="B12" s="27" t="s">
        <v>139</v>
      </c>
      <c r="C12" s="27" t="s">
        <v>107</v>
      </c>
      <c r="D12" s="27" t="s">
        <v>110</v>
      </c>
      <c r="E12" s="27" t="s">
        <v>72</v>
      </c>
      <c r="F12" s="27" t="s">
        <v>1</v>
      </c>
      <c r="G12" s="27">
        <v>70</v>
      </c>
      <c r="H12" s="27" t="str" cm="1">
        <f t="array" ref="H12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12" s="27" cm="1">
        <f t="array" ref="I12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5.7408100000000007E-3</v>
      </c>
      <c r="J12" s="27" t="str" cm="1">
        <f t="array" ref="J12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12" s="27">
        <f>IF(OR(Audit_Reports[[#This Row],[Input Energy Savings]]="",Audit_Reports[[#This Row],[Emission Factor]]=""), "", Audit_Reports[[#This Row],[Input Energy Savings]] * Audit_Reports[[#This Row],[Emission Factor]])</f>
        <v>0.40185670000000007</v>
      </c>
      <c r="L12" s="27" t="str">
        <f>IF(Audit_Reports[[#This Row],[GHG Emission Savings]]&lt;&gt;"", "Metric Tons", "")</f>
        <v>Metric Tons</v>
      </c>
      <c r="M12" s="37" cm="1">
        <f t="array" ref="M12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436.8</v>
      </c>
    </row>
    <row r="13" spans="1:13" ht="20" customHeight="1" x14ac:dyDescent="0.2">
      <c r="A13" s="30"/>
      <c r="B13" s="27" t="s">
        <v>140</v>
      </c>
      <c r="C13" s="27" t="s">
        <v>107</v>
      </c>
      <c r="D13" s="27" t="s">
        <v>110</v>
      </c>
      <c r="E13" s="27" t="s">
        <v>72</v>
      </c>
      <c r="F13" s="27" t="s">
        <v>4</v>
      </c>
      <c r="G13" s="27">
        <v>400</v>
      </c>
      <c r="H13" s="27" t="str" cm="1">
        <f t="array" ref="H13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Therms</v>
      </c>
      <c r="I13" s="27" cm="1">
        <f t="array" ref="I13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5.3114366471734894E-3</v>
      </c>
      <c r="J13" s="27" t="str" cm="1">
        <f t="array" ref="J13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MT/Therm</v>
      </c>
      <c r="K13" s="27">
        <f>IF(OR(Audit_Reports[[#This Row],[Input Energy Savings]]="",Audit_Reports[[#This Row],[Emission Factor]]=""), "", Audit_Reports[[#This Row],[Input Energy Savings]] * Audit_Reports[[#This Row],[Emission Factor]])</f>
        <v>2.1245746588693959</v>
      </c>
      <c r="L13" s="27" t="str">
        <f>IF(Audit_Reports[[#This Row],[GHG Emission Savings]]&lt;&gt;"", "Metric Tons", "")</f>
        <v>Metric Tons</v>
      </c>
      <c r="M13" s="37" cm="1">
        <f t="array" ref="M13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480</v>
      </c>
    </row>
    <row r="14" spans="1:13" ht="20" customHeight="1" x14ac:dyDescent="0.2">
      <c r="A14" s="30"/>
      <c r="B14" s="27" t="s">
        <v>141</v>
      </c>
      <c r="C14" s="27" t="s">
        <v>107</v>
      </c>
      <c r="D14" s="27" t="s">
        <v>110</v>
      </c>
      <c r="E14" s="27" t="s">
        <v>72</v>
      </c>
      <c r="F14" s="27" t="s">
        <v>20</v>
      </c>
      <c r="G14" s="27">
        <v>20</v>
      </c>
      <c r="H14" s="27" t="str" cm="1">
        <f t="array" ref="H14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>Gallons</v>
      </c>
      <c r="I14" s="27" cm="1">
        <f t="array" ref="I14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>1.0242680000000001E-2</v>
      </c>
      <c r="J14" s="27" t="str" cm="1">
        <f t="array" ref="J14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>MT/Gallon</v>
      </c>
      <c r="K14" s="27">
        <f>IF(OR(Audit_Reports[[#This Row],[Input Energy Savings]]="",Audit_Reports[[#This Row],[Emission Factor]]=""), "", Audit_Reports[[#This Row],[Input Energy Savings]] * Audit_Reports[[#This Row],[Emission Factor]])</f>
        <v>0.20485360000000002</v>
      </c>
      <c r="L14" s="27" t="str">
        <f>IF(Audit_Reports[[#This Row],[GHG Emission Savings]]&lt;&gt;"", "Metric Tons", "")</f>
        <v>Metric Tons</v>
      </c>
      <c r="M14" s="37" cm="1">
        <f t="array" ref="M14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>97.2</v>
      </c>
    </row>
    <row r="15" spans="1:13" ht="20" customHeight="1" x14ac:dyDescent="0.2">
      <c r="A15" s="30"/>
      <c r="H15" s="27" t="str" cm="1">
        <f t="array" ref="H15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15" s="27" t="str" cm="1">
        <f t="array" ref="I15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15" s="27" t="str" cm="1">
        <f t="array" ref="J15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15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15" s="27" t="str">
        <f>IF(Audit_Reports[[#This Row],[GHG Emission Savings]]&lt;&gt;"", "Metric Tons", "")</f>
        <v/>
      </c>
      <c r="M15" s="37" t="str" cm="1">
        <f t="array" ref="M15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16" spans="1:13" ht="20" customHeight="1" x14ac:dyDescent="0.2">
      <c r="A16" s="30"/>
      <c r="H16" s="27" t="str" cm="1">
        <f t="array" ref="H16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16" s="27" t="str" cm="1">
        <f t="array" ref="I16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16" s="27" t="str" cm="1">
        <f t="array" ref="J16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16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16" s="27" t="str">
        <f>IF(Audit_Reports[[#This Row],[GHG Emission Savings]]&lt;&gt;"", "Metric Tons", "")</f>
        <v/>
      </c>
      <c r="M16" s="37" t="str" cm="1">
        <f t="array" ref="M16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17" spans="1:13" ht="20" customHeight="1" x14ac:dyDescent="0.2">
      <c r="A17" s="30"/>
      <c r="H17" s="27" t="str" cm="1">
        <f t="array" ref="H17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17" s="27" t="str" cm="1">
        <f t="array" ref="I17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17" s="27" t="str" cm="1">
        <f t="array" ref="J17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17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17" s="27" t="str">
        <f>IF(Audit_Reports[[#This Row],[GHG Emission Savings]]&lt;&gt;"", "Metric Tons", "")</f>
        <v/>
      </c>
      <c r="M17" s="37" t="str" cm="1">
        <f t="array" ref="M17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18" spans="1:13" ht="20" customHeight="1" x14ac:dyDescent="0.2">
      <c r="H18" s="27" t="str" cm="1">
        <f t="array" ref="H18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18" s="27" t="str" cm="1">
        <f t="array" ref="I18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18" s="27" t="str" cm="1">
        <f t="array" ref="J18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18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18" s="27" t="str">
        <f>IF(Audit_Reports[[#This Row],[GHG Emission Savings]]&lt;&gt;"", "Metric Tons", "")</f>
        <v/>
      </c>
      <c r="M18" s="37" t="str" cm="1">
        <f t="array" ref="M18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19" spans="1:13" ht="20" customHeight="1" x14ac:dyDescent="0.2">
      <c r="H19" s="27" t="str" cm="1">
        <f t="array" ref="H19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19" s="27" t="str" cm="1">
        <f t="array" ref="I19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19" s="27" t="str" cm="1">
        <f t="array" ref="J19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19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19" s="27" t="str">
        <f>IF(Audit_Reports[[#This Row],[GHG Emission Savings]]&lt;&gt;"", "Metric Tons", "")</f>
        <v/>
      </c>
      <c r="M19" s="37" t="str" cm="1">
        <f t="array" ref="M19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20" spans="1:13" ht="20" customHeight="1" x14ac:dyDescent="0.2">
      <c r="H20" s="27" t="str" cm="1">
        <f t="array" ref="H20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20" s="27" t="str" cm="1">
        <f t="array" ref="I20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20" s="27" t="str" cm="1">
        <f t="array" ref="J20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20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20" s="27" t="str">
        <f>IF(Audit_Reports[[#This Row],[GHG Emission Savings]]&lt;&gt;"", "Metric Tons", "")</f>
        <v/>
      </c>
      <c r="M20" s="37" t="str" cm="1">
        <f t="array" ref="M20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21" spans="1:13" ht="20" customHeight="1" x14ac:dyDescent="0.2">
      <c r="H21" s="27" t="str" cm="1">
        <f t="array" ref="H21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21" s="27" t="str" cm="1">
        <f t="array" ref="I21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21" s="27" t="str" cm="1">
        <f t="array" ref="J21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21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21" s="27" t="str">
        <f>IF(Audit_Reports[[#This Row],[GHG Emission Savings]]&lt;&gt;"", "Metric Tons", "")</f>
        <v/>
      </c>
      <c r="M21" s="37" t="str" cm="1">
        <f t="array" ref="M21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  <row r="22" spans="1:13" ht="20" customHeight="1" x14ac:dyDescent="0.2">
      <c r="H22" s="27" t="str" cm="1">
        <f t="array" ref="H22">_xlfn.IFS(
    Audit_Reports[[#This Row],[Energy Source]]="", "",
    OR(Audit_Reports[[#This Row],[Energy Source]]="Propane",Audit_Reports[[#This Row],[Energy Source]]="Oil", Audit_Reports[[#This Row],[Energy Source]]="Diesel"), "Gallons",
    Audit_Reports[[#This Row],[Energy Source]]="Electricity", "kWh",
    Audit_Reports[[#This Row],[Energy Source]]="Natural Gas", "Therms"
)</f>
        <v/>
      </c>
      <c r="I22" s="27" t="str" cm="1">
        <f t="array" ref="I22">IF(Audit_Reports[[#This Row],[Energy Source]]="", "", _xlfn.IFS(
    Audit_Reports[[#This Row],[Energy Source]]="Electricity", Electricity_CO2e_Factor,
    Audit_Reports[[#This Row],[Energy Source]]="Propane", Propane_CO2e_Factor,
    Audit_Reports[[#This Row],[Energy Source]]="Oil", Oil_CO2e_Factor,
    Audit_Reports[[#This Row],[Energy Source]]="Natural Gas", Natural_Gas_CO2e_Factor,
    Audit_Reports[[#This Row],[Energy Source]]="Diesel", Diesel_CO2e_Factor
))</f>
        <v/>
      </c>
      <c r="J22" s="27" t="str" cm="1">
        <f t="array" ref="J22">IF(Audit_Reports[[#This Row],[Energy Source]]="", "", _xlfn.IFS(
    Audit_Reports[[#This Row],[Energy Source]]="Electricity", "MT/kWh",
    Audit_Reports[[#This Row],[Energy Source]]="Propane", "MT/Gallon",
    Audit_Reports[[#This Row],[Energy Source]]="Oil", "MT/Gallon",
    Audit_Reports[[#This Row],[Energy Source]]="Natural Gas", "MT/Therm",
    Audit_Reports[[#This Row],[Energy Source]]="Diesel", "MT/Gallon"
))</f>
        <v/>
      </c>
      <c r="K22" s="27" t="str">
        <f>IF(OR(Audit_Reports[[#This Row],[Input Energy Savings]]="",Audit_Reports[[#This Row],[Emission Factor]]=""), "", Audit_Reports[[#This Row],[Input Energy Savings]] * Audit_Reports[[#This Row],[Emission Factor]])</f>
        <v/>
      </c>
      <c r="L22" s="27" t="str">
        <f>IF(Audit_Reports[[#This Row],[GHG Emission Savings]]&lt;&gt;"", "Metric Tons", "")</f>
        <v/>
      </c>
      <c r="M22" s="37" t="str" cm="1">
        <f t="array" ref="M22">_xlfn.IFS(OR(Audit_Reports[[#This Row],[Energy Source]]="", Audit_Reports[[#This Row],[Input Energy Savings]]=""), "", Audit_Reports[[#This Row],[Energy Source]]="Oil", Audit_Reports[[#This Row],[Input Energy Savings]] * OilUnitCost, Audit_Reports[[#This Row],[Energy Source]]="Natural Gas", Audit_Reports[[#This Row],[Input Energy Savings]] * Natural_GasUnitCost, Audit_Reports[[#This Row],[Energy Source]]="Electricity", Audit_Reports[[#This Row],[Input Energy Savings]] * ElectricityUnitCost, Audit_Reports[[#This Row],[Energy Source]]="Propane", Audit_Reports[[#This Row],[Input Energy Savings]] *PropaneUnitCost, Audit_Reports[[#This Row],[Energy Source]]="Diesel", Audit_Reports[[#This Row],[Input Energy Savings]] * DieselUnitCost)</f>
        <v/>
      </c>
    </row>
  </sheetData>
  <dataValidations count="5">
    <dataValidation type="list" allowBlank="1" showInputMessage="1" showErrorMessage="1" sqref="C4:C22" xr:uid="{60799DED-030D-DC46-9705-704C4208602F}">
      <formula1>"Montgomery, Prince George's"</formula1>
    </dataValidation>
    <dataValidation type="whole" operator="notEqual" allowBlank="1" showInputMessage="1" showErrorMessage="1" sqref="G4:G22" xr:uid="{F96D7D7C-6817-9E40-B615-133E03A8F61D}">
      <formula1>0</formula1>
    </dataValidation>
    <dataValidation type="list" allowBlank="1" showInputMessage="1" showErrorMessage="1" sqref="F4:F22" xr:uid="{3356EE56-F031-D543-AF35-EA5B9DDF6C32}">
      <formula1>" , Electricity, Natural Gas, Oil, Propane, Diesel"</formula1>
    </dataValidation>
    <dataValidation type="list" allowBlank="1" showInputMessage="1" showErrorMessage="1" sqref="D4:D22" xr:uid="{81D26A4B-920A-D642-9492-943EBA9FDDAB}">
      <formula1>"HEECAP, MEA EEE"</formula1>
    </dataValidation>
    <dataValidation type="list" allowBlank="1" showInputMessage="1" showErrorMessage="1" sqref="E4:E22" xr:uid="{C2100383-1516-0447-BCFD-166659E04AED}">
      <formula1>"Electrification, Weatherization, Weatherization &amp; Electrification"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DF5A-40EC-DA40-83C4-EB4BC415E2B7}">
  <dimension ref="A1:S6"/>
  <sheetViews>
    <sheetView showGridLines="0" workbookViewId="0">
      <selection activeCell="O6" sqref="O6"/>
    </sheetView>
  </sheetViews>
  <sheetFormatPr baseColWidth="10" defaultRowHeight="16" x14ac:dyDescent="0.2"/>
  <cols>
    <col min="1" max="1" width="8.6640625" bestFit="1" customWidth="1"/>
    <col min="2" max="2" width="13.6640625" bestFit="1" customWidth="1"/>
    <col min="3" max="3" width="16.1640625" bestFit="1" customWidth="1"/>
    <col min="4" max="4" width="13.6640625" bestFit="1" customWidth="1"/>
    <col min="5" max="5" width="15.1640625" bestFit="1" customWidth="1"/>
    <col min="6" max="6" width="20.6640625" bestFit="1" customWidth="1"/>
    <col min="7" max="7" width="19.33203125" bestFit="1" customWidth="1"/>
    <col min="8" max="8" width="15.83203125" bestFit="1" customWidth="1"/>
    <col min="9" max="9" width="7.33203125" bestFit="1" customWidth="1"/>
    <col min="10" max="10" width="17" bestFit="1" customWidth="1"/>
    <col min="11" max="11" width="10.33203125" bestFit="1" customWidth="1"/>
    <col min="12" max="12" width="22.5" bestFit="1" customWidth="1"/>
    <col min="13" max="13" width="22.83203125" bestFit="1" customWidth="1"/>
    <col min="14" max="14" width="15.1640625" bestFit="1" customWidth="1"/>
    <col min="15" max="15" width="13.1640625" bestFit="1" customWidth="1"/>
    <col min="16" max="16" width="23.5" bestFit="1" customWidth="1"/>
    <col min="17" max="17" width="21" bestFit="1" customWidth="1"/>
    <col min="18" max="18" width="22.5" bestFit="1" customWidth="1"/>
    <col min="19" max="19" width="20.5" bestFit="1" customWidth="1"/>
  </cols>
  <sheetData>
    <row r="1" spans="1:19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103</v>
      </c>
      <c r="G1" t="s">
        <v>104</v>
      </c>
      <c r="H1" t="s">
        <v>76</v>
      </c>
      <c r="I1" t="s">
        <v>42</v>
      </c>
      <c r="J1" t="s">
        <v>38</v>
      </c>
      <c r="K1" t="s">
        <v>39</v>
      </c>
      <c r="L1" t="s">
        <v>40</v>
      </c>
      <c r="M1" t="s">
        <v>41</v>
      </c>
      <c r="N1" t="s">
        <v>73</v>
      </c>
      <c r="O1" t="s">
        <v>77</v>
      </c>
      <c r="P1" t="s">
        <v>90</v>
      </c>
      <c r="Q1" t="s">
        <v>91</v>
      </c>
      <c r="R1" t="s">
        <v>92</v>
      </c>
      <c r="S1" t="s">
        <v>68</v>
      </c>
    </row>
    <row r="2" spans="1:19" x14ac:dyDescent="0.2">
      <c r="A2" t="s">
        <v>105</v>
      </c>
      <c r="B2" t="s">
        <v>107</v>
      </c>
      <c r="C2" t="s">
        <v>75</v>
      </c>
      <c r="E2" s="25" t="s">
        <v>4</v>
      </c>
      <c r="F2">
        <v>1</v>
      </c>
      <c r="G2">
        <v>3</v>
      </c>
      <c r="H2">
        <v>2</v>
      </c>
      <c r="I2" s="25" t="s">
        <v>10</v>
      </c>
      <c r="J2">
        <v>5.3114366471734894E-3</v>
      </c>
      <c r="K2" s="25" t="s">
        <v>67</v>
      </c>
      <c r="L2">
        <v>1.0622873294346979E-2</v>
      </c>
      <c r="M2" s="25" t="s">
        <v>31</v>
      </c>
      <c r="N2">
        <v>2.4</v>
      </c>
      <c r="O2" s="25"/>
    </row>
    <row r="3" spans="1:19" x14ac:dyDescent="0.2">
      <c r="B3" t="s">
        <v>108</v>
      </c>
      <c r="C3" t="s">
        <v>108</v>
      </c>
      <c r="E3" s="25"/>
      <c r="F3">
        <v>5</v>
      </c>
      <c r="G3">
        <v>2</v>
      </c>
      <c r="H3">
        <v>-3</v>
      </c>
      <c r="I3" s="25" t="s">
        <v>108</v>
      </c>
      <c r="K3" s="25" t="s">
        <v>108</v>
      </c>
      <c r="M3" s="25" t="s">
        <v>108</v>
      </c>
      <c r="O3" s="25"/>
    </row>
    <row r="4" spans="1:19" x14ac:dyDescent="0.2">
      <c r="A4" t="s">
        <v>105</v>
      </c>
      <c r="C4" t="s">
        <v>78</v>
      </c>
      <c r="D4" t="s">
        <v>74</v>
      </c>
      <c r="E4" s="25"/>
      <c r="H4">
        <v>90</v>
      </c>
      <c r="I4" s="25" t="s">
        <v>11</v>
      </c>
      <c r="J4">
        <v>2.7080961343821001E-4</v>
      </c>
      <c r="K4" s="25" t="s">
        <v>65</v>
      </c>
      <c r="L4">
        <v>2.4372865209438901E-2</v>
      </c>
      <c r="M4" s="25" t="s">
        <v>31</v>
      </c>
      <c r="N4">
        <v>12.600000000000001</v>
      </c>
      <c r="O4" s="25" t="s">
        <v>0</v>
      </c>
      <c r="P4">
        <v>90</v>
      </c>
      <c r="Q4">
        <v>5</v>
      </c>
      <c r="R4">
        <v>94.5</v>
      </c>
    </row>
    <row r="5" spans="1:19" x14ac:dyDescent="0.2">
      <c r="A5" t="s">
        <v>105</v>
      </c>
      <c r="B5" t="s">
        <v>106</v>
      </c>
      <c r="C5" t="s">
        <v>78</v>
      </c>
      <c r="D5" t="s">
        <v>74</v>
      </c>
      <c r="E5" s="25"/>
      <c r="H5">
        <v>30</v>
      </c>
      <c r="I5" s="25" t="s">
        <v>11</v>
      </c>
      <c r="J5">
        <v>2.7080961343821001E-4</v>
      </c>
      <c r="K5" s="25" t="s">
        <v>65</v>
      </c>
      <c r="L5">
        <v>8.1242884031462997E-3</v>
      </c>
      <c r="M5" s="25" t="s">
        <v>31</v>
      </c>
      <c r="N5">
        <v>4.2</v>
      </c>
      <c r="O5" s="25" t="s">
        <v>0</v>
      </c>
      <c r="P5">
        <v>30</v>
      </c>
      <c r="Q5">
        <v>5</v>
      </c>
      <c r="R5">
        <v>94.5</v>
      </c>
    </row>
    <row r="6" spans="1:19" x14ac:dyDescent="0.2">
      <c r="E6" s="25" t="s">
        <v>2</v>
      </c>
      <c r="I6" s="25" t="s">
        <v>12</v>
      </c>
      <c r="J6">
        <v>1.0242680000000001E-2</v>
      </c>
      <c r="K6" s="25" t="s">
        <v>66</v>
      </c>
      <c r="L6">
        <v>1.0242680000000001E-2</v>
      </c>
      <c r="M6" s="25" t="s">
        <v>31</v>
      </c>
      <c r="N6">
        <v>4.13</v>
      </c>
      <c r="O6" s="25"/>
      <c r="S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4C37-5F7E-EB4B-8136-C3A5A3642F5E}">
  <dimension ref="A1:Q72"/>
  <sheetViews>
    <sheetView showGridLines="0" topLeftCell="A3" zoomScale="75" zoomScaleNormal="59" workbookViewId="0">
      <selection activeCell="P72" sqref="P72"/>
    </sheetView>
  </sheetViews>
  <sheetFormatPr baseColWidth="10" defaultRowHeight="16" x14ac:dyDescent="0.2"/>
  <cols>
    <col min="1" max="1" width="10.83203125" customWidth="1"/>
    <col min="2" max="2" width="24.1640625" bestFit="1" customWidth="1"/>
    <col min="3" max="3" width="16.33203125" bestFit="1" customWidth="1"/>
    <col min="4" max="4" width="13.6640625" bestFit="1" customWidth="1"/>
    <col min="5" max="5" width="17.33203125" bestFit="1" customWidth="1"/>
    <col min="6" max="6" width="7.83203125" bestFit="1" customWidth="1"/>
    <col min="7" max="7" width="9.6640625" bestFit="1" customWidth="1"/>
    <col min="8" max="8" width="12.33203125" bestFit="1" customWidth="1"/>
    <col min="9" max="9" width="12.6640625" bestFit="1" customWidth="1"/>
    <col min="10" max="10" width="13.6640625" bestFit="1" customWidth="1"/>
    <col min="11" max="11" width="30.33203125" bestFit="1" customWidth="1"/>
    <col min="12" max="12" width="10.83203125" customWidth="1"/>
    <col min="13" max="13" width="10.5" bestFit="1" customWidth="1"/>
    <col min="14" max="19" width="10.83203125" customWidth="1"/>
  </cols>
  <sheetData>
    <row r="1" spans="1:17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30"/>
      <c r="P1" s="30"/>
      <c r="Q1" s="27"/>
    </row>
    <row r="2" spans="1:17" ht="32" x14ac:dyDescent="0.4">
      <c r="A2" s="45"/>
      <c r="B2" s="46"/>
      <c r="C2" s="46"/>
      <c r="D2" s="46"/>
      <c r="E2" s="70" t="s">
        <v>130</v>
      </c>
      <c r="F2" s="41"/>
      <c r="G2" s="41"/>
      <c r="H2" s="41"/>
      <c r="I2" s="41"/>
      <c r="J2" s="71"/>
      <c r="K2" s="46"/>
      <c r="L2" s="46"/>
      <c r="M2" s="46"/>
      <c r="N2" s="47"/>
      <c r="O2" s="30"/>
      <c r="P2" s="30"/>
      <c r="Q2" s="27"/>
    </row>
    <row r="3" spans="1:17" ht="20" customHeight="1" x14ac:dyDescent="0.4">
      <c r="A3" s="45"/>
      <c r="B3" s="46"/>
      <c r="C3" s="46"/>
      <c r="D3" s="46"/>
      <c r="E3" s="46"/>
      <c r="F3" s="51"/>
      <c r="G3" s="51"/>
      <c r="H3" s="51"/>
      <c r="I3" s="51"/>
      <c r="J3" s="46"/>
      <c r="K3" s="46"/>
      <c r="L3" s="46"/>
      <c r="M3" s="46"/>
      <c r="N3" s="47"/>
      <c r="O3" s="30"/>
      <c r="P3" s="30"/>
      <c r="Q3" s="27"/>
    </row>
    <row r="4" spans="1:17" ht="24" x14ac:dyDescent="0.3">
      <c r="A4" s="45"/>
      <c r="B4" s="46"/>
      <c r="C4" s="46"/>
      <c r="D4" s="52" t="s">
        <v>73</v>
      </c>
      <c r="E4" s="53"/>
      <c r="F4" s="46"/>
      <c r="G4" s="46"/>
      <c r="H4" s="46"/>
      <c r="I4" s="46"/>
      <c r="J4" s="52" t="s">
        <v>131</v>
      </c>
      <c r="K4" s="53"/>
      <c r="L4" s="46"/>
      <c r="M4" s="46"/>
      <c r="N4" s="47"/>
      <c r="O4" s="30"/>
      <c r="P4" s="30"/>
    </row>
    <row r="5" spans="1:17" x14ac:dyDescent="0.2">
      <c r="A5" s="45"/>
      <c r="B5" s="46"/>
      <c r="C5" s="46"/>
      <c r="D5" s="62" t="s">
        <v>143</v>
      </c>
      <c r="E5" s="7" t="s">
        <v>124</v>
      </c>
      <c r="F5" s="46"/>
      <c r="G5" s="46"/>
      <c r="H5" s="46"/>
      <c r="I5" s="46"/>
      <c r="J5" s="62" t="s">
        <v>143</v>
      </c>
      <c r="K5" s="7" t="s">
        <v>125</v>
      </c>
      <c r="L5" s="46"/>
      <c r="M5" s="46"/>
      <c r="N5" s="47"/>
      <c r="O5" s="30"/>
      <c r="P5" s="30"/>
    </row>
    <row r="6" spans="1:17" x14ac:dyDescent="0.2">
      <c r="A6" s="45"/>
      <c r="B6" s="46"/>
      <c r="C6" s="46"/>
      <c r="D6" s="63" t="s">
        <v>107</v>
      </c>
      <c r="E6" s="66">
        <v>1338.8</v>
      </c>
      <c r="F6" s="46"/>
      <c r="G6" s="46"/>
      <c r="H6" s="46"/>
      <c r="I6" s="46"/>
      <c r="J6" s="63" t="s">
        <v>107</v>
      </c>
      <c r="K6" s="68">
        <v>3.4497151181889554</v>
      </c>
      <c r="L6" s="46"/>
      <c r="M6" s="46"/>
      <c r="N6" s="47"/>
      <c r="O6" s="30"/>
      <c r="P6" s="30"/>
    </row>
    <row r="7" spans="1:17" x14ac:dyDescent="0.2">
      <c r="A7" s="45"/>
      <c r="B7" s="46"/>
      <c r="C7" s="46"/>
      <c r="D7" s="64" t="s">
        <v>106</v>
      </c>
      <c r="E7" s="67">
        <v>941.5</v>
      </c>
      <c r="F7" s="46"/>
      <c r="G7" s="46"/>
      <c r="H7" s="46"/>
      <c r="I7" s="46"/>
      <c r="J7" s="64" t="s">
        <v>106</v>
      </c>
      <c r="K7" s="69">
        <v>2.66631257818351</v>
      </c>
      <c r="L7" s="46"/>
      <c r="M7" s="46"/>
      <c r="N7" s="47"/>
      <c r="O7" s="30"/>
      <c r="P7" s="30"/>
    </row>
    <row r="8" spans="1:17" x14ac:dyDescent="0.2">
      <c r="A8" s="45"/>
      <c r="B8" s="46"/>
      <c r="C8" s="46"/>
      <c r="D8" s="65" t="s">
        <v>122</v>
      </c>
      <c r="E8" s="76">
        <v>2280.3000000000002</v>
      </c>
      <c r="F8" s="46"/>
      <c r="G8" s="46"/>
      <c r="H8" s="46"/>
      <c r="I8" s="46"/>
      <c r="J8" s="65" t="s">
        <v>122</v>
      </c>
      <c r="K8" s="76">
        <v>6.1160276963724653</v>
      </c>
      <c r="L8" s="46"/>
      <c r="M8" s="46"/>
      <c r="N8" s="47"/>
      <c r="O8" s="30"/>
      <c r="P8" s="30"/>
    </row>
    <row r="9" spans="1:17" x14ac:dyDescent="0.2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30"/>
      <c r="P9" s="30"/>
    </row>
    <row r="10" spans="1:17" ht="24" x14ac:dyDescent="0.3">
      <c r="A10" s="45"/>
      <c r="B10" s="72" t="s">
        <v>132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4"/>
      <c r="N10" s="47"/>
      <c r="O10" s="30"/>
      <c r="P10" s="30"/>
    </row>
    <row r="11" spans="1:17" x14ac:dyDescent="0.2">
      <c r="A11" s="45"/>
      <c r="B11" s="55" t="s">
        <v>126</v>
      </c>
      <c r="C11" s="56" t="s">
        <v>123</v>
      </c>
      <c r="D11" s="2"/>
      <c r="E11" s="2"/>
      <c r="F11" s="2"/>
      <c r="G11" s="2"/>
      <c r="H11" s="2"/>
      <c r="I11" s="2"/>
      <c r="J11" s="2"/>
      <c r="K11" s="2"/>
      <c r="L11" s="2"/>
      <c r="M11" s="3"/>
      <c r="N11" s="47"/>
      <c r="O11" s="30"/>
      <c r="P11" s="30"/>
    </row>
    <row r="12" spans="1:17" x14ac:dyDescent="0.2">
      <c r="A12" s="45"/>
      <c r="B12" s="13"/>
      <c r="C12" s="27" t="s">
        <v>0</v>
      </c>
      <c r="D12" s="27" t="s">
        <v>127</v>
      </c>
      <c r="E12" s="27" t="s">
        <v>2</v>
      </c>
      <c r="F12" s="27" t="s">
        <v>128</v>
      </c>
      <c r="G12" s="27" t="s">
        <v>1</v>
      </c>
      <c r="H12" s="27" t="s">
        <v>129</v>
      </c>
      <c r="I12" s="27" t="s">
        <v>4</v>
      </c>
      <c r="J12" s="27" t="s">
        <v>136</v>
      </c>
      <c r="K12" s="27" t="s">
        <v>20</v>
      </c>
      <c r="L12" s="27" t="s">
        <v>137</v>
      </c>
      <c r="M12" s="28" t="s">
        <v>122</v>
      </c>
      <c r="N12" s="47"/>
      <c r="O12" s="30"/>
      <c r="P12" s="30"/>
    </row>
    <row r="13" spans="1:17" x14ac:dyDescent="0.2">
      <c r="A13" s="45"/>
      <c r="B13" s="75" t="s">
        <v>143</v>
      </c>
      <c r="C13" s="5" t="s">
        <v>11</v>
      </c>
      <c r="D13" s="5"/>
      <c r="E13" s="5" t="s">
        <v>12</v>
      </c>
      <c r="F13" s="5"/>
      <c r="G13" s="5" t="s">
        <v>12</v>
      </c>
      <c r="H13" s="5"/>
      <c r="I13" s="5" t="s">
        <v>10</v>
      </c>
      <c r="J13" s="5"/>
      <c r="K13" s="5" t="s">
        <v>12</v>
      </c>
      <c r="L13" s="5"/>
      <c r="M13" s="6"/>
      <c r="N13" s="47"/>
      <c r="O13" s="30"/>
      <c r="P13" s="30"/>
    </row>
    <row r="14" spans="1:17" x14ac:dyDescent="0.2">
      <c r="A14" s="45"/>
      <c r="B14" s="57" t="s">
        <v>107</v>
      </c>
      <c r="C14" s="40">
        <v>1140</v>
      </c>
      <c r="D14" s="40">
        <v>1140</v>
      </c>
      <c r="E14" s="40">
        <v>40</v>
      </c>
      <c r="F14" s="40">
        <v>40</v>
      </c>
      <c r="G14" s="40">
        <v>70</v>
      </c>
      <c r="H14" s="40">
        <v>70</v>
      </c>
      <c r="I14" s="40">
        <v>400</v>
      </c>
      <c r="J14" s="40">
        <v>400</v>
      </c>
      <c r="K14" s="40">
        <v>20</v>
      </c>
      <c r="L14" s="40">
        <v>20</v>
      </c>
      <c r="M14" s="58">
        <v>1670</v>
      </c>
      <c r="N14" s="47"/>
      <c r="O14" s="30"/>
      <c r="P14" s="30"/>
    </row>
    <row r="15" spans="1:17" x14ac:dyDescent="0.2">
      <c r="A15" s="45"/>
      <c r="B15" s="57" t="s">
        <v>106</v>
      </c>
      <c r="C15" s="40">
        <v>300</v>
      </c>
      <c r="D15" s="40">
        <v>300</v>
      </c>
      <c r="E15" s="40">
        <v>50</v>
      </c>
      <c r="F15" s="40">
        <v>50</v>
      </c>
      <c r="G15" s="40">
        <v>30</v>
      </c>
      <c r="H15" s="40">
        <v>30</v>
      </c>
      <c r="I15" s="40">
        <v>300</v>
      </c>
      <c r="J15" s="40">
        <v>300</v>
      </c>
      <c r="K15" s="40">
        <v>30</v>
      </c>
      <c r="L15" s="40">
        <v>30</v>
      </c>
      <c r="M15" s="58">
        <v>710</v>
      </c>
      <c r="N15" s="47"/>
      <c r="O15" s="30"/>
      <c r="P15" s="30"/>
    </row>
    <row r="16" spans="1:17" x14ac:dyDescent="0.2">
      <c r="A16" s="45"/>
      <c r="B16" s="77" t="s">
        <v>122</v>
      </c>
      <c r="C16" s="78">
        <v>1440</v>
      </c>
      <c r="D16" s="78">
        <v>1440</v>
      </c>
      <c r="E16" s="78">
        <v>90</v>
      </c>
      <c r="F16" s="78">
        <v>90</v>
      </c>
      <c r="G16" s="78">
        <v>100</v>
      </c>
      <c r="H16" s="78">
        <v>100</v>
      </c>
      <c r="I16" s="78">
        <v>700</v>
      </c>
      <c r="J16" s="78">
        <v>700</v>
      </c>
      <c r="K16" s="78">
        <v>50</v>
      </c>
      <c r="L16" s="78">
        <v>50</v>
      </c>
      <c r="M16" s="79">
        <v>2380</v>
      </c>
      <c r="N16" s="47"/>
      <c r="O16" s="30"/>
      <c r="P16" s="30"/>
    </row>
    <row r="17" spans="1:16" x14ac:dyDescent="0.2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7"/>
      <c r="O17" s="30"/>
      <c r="P17" s="30"/>
    </row>
    <row r="18" spans="1:16" x14ac:dyDescent="0.2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O18" s="30"/>
      <c r="P18" s="30"/>
    </row>
    <row r="19" spans="1:16" x14ac:dyDescent="0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30"/>
      <c r="P19" s="30"/>
    </row>
    <row r="20" spans="1:1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30"/>
      <c r="P20" s="30"/>
    </row>
    <row r="21" spans="1:1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30"/>
      <c r="P21" s="30"/>
    </row>
    <row r="22" spans="1:16" x14ac:dyDescent="0.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30"/>
      <c r="P22" s="30"/>
    </row>
    <row r="23" spans="1:16" x14ac:dyDescent="0.2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30"/>
      <c r="P23" s="30"/>
    </row>
    <row r="24" spans="1:16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30"/>
      <c r="P24" s="30"/>
    </row>
    <row r="25" spans="1:16" x14ac:dyDescent="0.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30"/>
      <c r="P25" s="30"/>
    </row>
    <row r="26" spans="1:16" x14ac:dyDescent="0.2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30"/>
      <c r="P26" s="30"/>
    </row>
    <row r="27" spans="1:16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30"/>
      <c r="P27" s="30"/>
    </row>
    <row r="28" spans="1:16" x14ac:dyDescent="0.2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30"/>
      <c r="P28" s="30"/>
    </row>
    <row r="29" spans="1:16" x14ac:dyDescent="0.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30"/>
      <c r="P29" s="30"/>
    </row>
    <row r="30" spans="1:16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30"/>
      <c r="P30" s="30"/>
    </row>
    <row r="31" spans="1:16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30"/>
      <c r="P31" s="30"/>
    </row>
    <row r="32" spans="1:16" x14ac:dyDescent="0.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30"/>
      <c r="P32" s="30"/>
    </row>
    <row r="33" spans="1:16" x14ac:dyDescent="0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30"/>
      <c r="P33" s="30"/>
    </row>
    <row r="34" spans="1:16" x14ac:dyDescent="0.2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30"/>
      <c r="P34" s="30"/>
    </row>
    <row r="35" spans="1:16" x14ac:dyDescent="0.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30"/>
      <c r="P35" s="30"/>
    </row>
    <row r="36" spans="1:16" x14ac:dyDescent="0.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30"/>
      <c r="P36" s="30"/>
    </row>
    <row r="37" spans="1:16" x14ac:dyDescent="0.2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30"/>
      <c r="P37" s="30"/>
    </row>
    <row r="38" spans="1:16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30"/>
      <c r="P38" s="30"/>
    </row>
    <row r="39" spans="1:16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30"/>
      <c r="P39" s="30"/>
    </row>
    <row r="40" spans="1:16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30"/>
      <c r="P40" s="30"/>
    </row>
    <row r="41" spans="1:16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30"/>
      <c r="P41" s="30"/>
    </row>
    <row r="42" spans="1:16" x14ac:dyDescent="0.2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30"/>
      <c r="P42" s="30"/>
    </row>
    <row r="43" spans="1:16" x14ac:dyDescent="0.2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30"/>
      <c r="P43" s="30"/>
    </row>
    <row r="44" spans="1:16" x14ac:dyDescent="0.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30"/>
      <c r="P44" s="30"/>
    </row>
    <row r="45" spans="1:16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30"/>
      <c r="P45" s="30"/>
    </row>
    <row r="46" spans="1:16" x14ac:dyDescent="0.2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30"/>
      <c r="P46" s="30"/>
    </row>
    <row r="47" spans="1:16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30"/>
      <c r="P47" s="30"/>
    </row>
    <row r="48" spans="1:16" x14ac:dyDescent="0.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30"/>
      <c r="P48" s="30"/>
    </row>
    <row r="49" spans="1:16" x14ac:dyDescent="0.2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30"/>
      <c r="P49" s="30"/>
    </row>
    <row r="50" spans="1:16" x14ac:dyDescent="0.2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30"/>
      <c r="P50" s="30"/>
    </row>
    <row r="51" spans="1:16" x14ac:dyDescent="0.2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30"/>
      <c r="P51" s="30"/>
    </row>
    <row r="52" spans="1:16" x14ac:dyDescent="0.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30"/>
      <c r="P52" s="30"/>
    </row>
    <row r="53" spans="1:16" x14ac:dyDescent="0.2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30"/>
      <c r="P53" s="30"/>
    </row>
    <row r="54" spans="1:16" x14ac:dyDescent="0.2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30"/>
      <c r="P54" s="30"/>
    </row>
    <row r="55" spans="1:16" x14ac:dyDescent="0.2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30"/>
      <c r="P55" s="30"/>
    </row>
    <row r="56" spans="1:16" x14ac:dyDescent="0.2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30"/>
      <c r="P56" s="30"/>
    </row>
    <row r="57" spans="1:16" x14ac:dyDescent="0.2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30"/>
      <c r="P57" s="30"/>
    </row>
    <row r="58" spans="1:16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30"/>
      <c r="P58" s="30"/>
    </row>
    <row r="59" spans="1:16" x14ac:dyDescent="0.2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30"/>
      <c r="P59" s="30"/>
    </row>
    <row r="60" spans="1:16" x14ac:dyDescent="0.2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30"/>
      <c r="P60" s="30"/>
    </row>
    <row r="61" spans="1:16" x14ac:dyDescent="0.2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30"/>
      <c r="P61" s="30"/>
    </row>
    <row r="62" spans="1:16" x14ac:dyDescent="0.2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30"/>
      <c r="P62" s="30"/>
    </row>
    <row r="63" spans="1:16" x14ac:dyDescent="0.2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30"/>
      <c r="P63" s="30"/>
    </row>
    <row r="64" spans="1:16" x14ac:dyDescent="0.2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30"/>
      <c r="P64" s="30"/>
    </row>
    <row r="65" spans="1:16" x14ac:dyDescent="0.2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30"/>
      <c r="P65" s="30"/>
    </row>
    <row r="66" spans="1:16" x14ac:dyDescent="0.2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30"/>
      <c r="P66" s="30"/>
    </row>
    <row r="67" spans="1:16" x14ac:dyDescent="0.2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30"/>
      <c r="P67" s="30"/>
    </row>
    <row r="68" spans="1:16" x14ac:dyDescent="0.2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30"/>
      <c r="P68" s="30"/>
    </row>
    <row r="69" spans="1:16" x14ac:dyDescent="0.2">
      <c r="A69" s="48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50"/>
      <c r="O69" s="30"/>
      <c r="P69" s="30"/>
    </row>
    <row r="70" spans="1:16" x14ac:dyDescent="0.2">
      <c r="O70" s="30"/>
      <c r="P70" s="30"/>
    </row>
    <row r="71" spans="1:16" x14ac:dyDescent="0.2">
      <c r="O71" s="30"/>
      <c r="P71" s="30"/>
    </row>
    <row r="72" spans="1:16" x14ac:dyDescent="0.2">
      <c r="O72" s="80"/>
      <c r="P72" s="80"/>
    </row>
  </sheetData>
  <mergeCells count="4">
    <mergeCell ref="D4:E4"/>
    <mergeCell ref="J4:K4"/>
    <mergeCell ref="B10:M10"/>
    <mergeCell ref="E2:J2"/>
  </mergeCell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0702-F237-E545-8FA0-CF52307E3C56}">
  <dimension ref="B2:M59"/>
  <sheetViews>
    <sheetView workbookViewId="0">
      <selection activeCell="E14" sqref="E14"/>
    </sheetView>
  </sheetViews>
  <sheetFormatPr baseColWidth="10" defaultColWidth="25.83203125" defaultRowHeight="20" customHeight="1" x14ac:dyDescent="0.2"/>
  <cols>
    <col min="2" max="2" width="8.6640625" bestFit="1" customWidth="1"/>
    <col min="3" max="3" width="9.5" bestFit="1" customWidth="1"/>
    <col min="4" max="4" width="16.1640625" bestFit="1" customWidth="1"/>
    <col min="5" max="5" width="13.6640625" bestFit="1" customWidth="1"/>
    <col min="6" max="6" width="15.1640625" bestFit="1" customWidth="1"/>
    <col min="7" max="7" width="20.5" bestFit="1" customWidth="1"/>
    <col min="8" max="8" width="7.33203125" bestFit="1" customWidth="1"/>
    <col min="9" max="9" width="17" bestFit="1" customWidth="1"/>
    <col min="10" max="10" width="10.33203125" bestFit="1" customWidth="1"/>
    <col min="11" max="11" width="22.5" bestFit="1" customWidth="1"/>
    <col min="12" max="12" width="22.83203125" bestFit="1" customWidth="1"/>
    <col min="13" max="13" width="15.1640625" bestFit="1" customWidth="1"/>
    <col min="14" max="14" width="20.6640625" bestFit="1" customWidth="1"/>
    <col min="15" max="15" width="19.33203125" bestFit="1" customWidth="1"/>
    <col min="16" max="16" width="15.83203125" bestFit="1" customWidth="1"/>
    <col min="17" max="17" width="13.1640625" bestFit="1" customWidth="1"/>
    <col min="18" max="18" width="23.5" bestFit="1" customWidth="1"/>
    <col min="19" max="19" width="21" bestFit="1" customWidth="1"/>
    <col min="20" max="20" width="22.5" bestFit="1" customWidth="1"/>
  </cols>
  <sheetData>
    <row r="2" spans="2:13" ht="16" x14ac:dyDescent="0.2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68</v>
      </c>
      <c r="H2" t="s">
        <v>42</v>
      </c>
      <c r="I2" t="s">
        <v>38</v>
      </c>
      <c r="J2" t="s">
        <v>39</v>
      </c>
      <c r="K2" t="s">
        <v>40</v>
      </c>
      <c r="L2" t="s">
        <v>41</v>
      </c>
      <c r="M2" t="s">
        <v>73</v>
      </c>
    </row>
    <row r="3" spans="2:13" ht="16" x14ac:dyDescent="0.2">
      <c r="F3" s="25" t="s">
        <v>2</v>
      </c>
      <c r="G3">
        <v>1</v>
      </c>
      <c r="H3" s="25" t="s">
        <v>12</v>
      </c>
      <c r="I3">
        <v>1.0242680000000001E-2</v>
      </c>
      <c r="J3" s="25" t="s">
        <v>66</v>
      </c>
      <c r="K3">
        <v>1.0242680000000001E-2</v>
      </c>
      <c r="L3" s="25" t="s">
        <v>31</v>
      </c>
      <c r="M3">
        <v>4.13</v>
      </c>
    </row>
    <row r="4" spans="2:13" ht="16" x14ac:dyDescent="0.2">
      <c r="F4" s="25"/>
      <c r="H4" s="25" t="s">
        <v>108</v>
      </c>
      <c r="J4" s="25" t="s">
        <v>108</v>
      </c>
      <c r="L4" s="25" t="s">
        <v>108</v>
      </c>
    </row>
    <row r="5" spans="2:13" ht="16" x14ac:dyDescent="0.2">
      <c r="F5" s="25"/>
      <c r="H5" s="25" t="s">
        <v>108</v>
      </c>
      <c r="J5" s="25" t="s">
        <v>108</v>
      </c>
      <c r="L5" s="25" t="s">
        <v>108</v>
      </c>
    </row>
    <row r="6" spans="2:13" ht="16" x14ac:dyDescent="0.2">
      <c r="F6" s="25"/>
      <c r="H6" s="25" t="s">
        <v>108</v>
      </c>
      <c r="J6" s="25" t="s">
        <v>108</v>
      </c>
      <c r="L6" s="25" t="s">
        <v>108</v>
      </c>
    </row>
    <row r="7" spans="2:13" ht="16" x14ac:dyDescent="0.2">
      <c r="F7" s="25"/>
      <c r="H7" s="25" t="s">
        <v>108</v>
      </c>
      <c r="J7" s="25" t="s">
        <v>108</v>
      </c>
      <c r="L7" s="25" t="s">
        <v>108</v>
      </c>
    </row>
    <row r="8" spans="2:13" ht="16" x14ac:dyDescent="0.2">
      <c r="F8" s="25"/>
      <c r="H8" s="25" t="s">
        <v>108</v>
      </c>
      <c r="J8" s="25" t="s">
        <v>108</v>
      </c>
      <c r="L8" s="25" t="s">
        <v>108</v>
      </c>
    </row>
    <row r="9" spans="2:13" ht="16" x14ac:dyDescent="0.2">
      <c r="F9" s="25"/>
      <c r="H9" s="25" t="s">
        <v>108</v>
      </c>
      <c r="J9" s="25" t="s">
        <v>108</v>
      </c>
      <c r="L9" s="25" t="s">
        <v>108</v>
      </c>
    </row>
    <row r="10" spans="2:13" ht="16" x14ac:dyDescent="0.2">
      <c r="F10" s="25"/>
      <c r="H10" s="25" t="s">
        <v>108</v>
      </c>
      <c r="J10" s="25" t="s">
        <v>108</v>
      </c>
      <c r="L10" s="25" t="s">
        <v>108</v>
      </c>
    </row>
    <row r="11" spans="2:13" ht="16" x14ac:dyDescent="0.2">
      <c r="F11" s="25"/>
      <c r="H11" s="25" t="s">
        <v>108</v>
      </c>
      <c r="J11" s="25" t="s">
        <v>108</v>
      </c>
      <c r="L11" s="25" t="s">
        <v>108</v>
      </c>
    </row>
    <row r="12" spans="2:13" ht="16" x14ac:dyDescent="0.2">
      <c r="F12" s="25"/>
      <c r="H12" s="25" t="s">
        <v>108</v>
      </c>
      <c r="J12" s="25" t="s">
        <v>108</v>
      </c>
      <c r="L12" s="25" t="s">
        <v>108</v>
      </c>
    </row>
    <row r="13" spans="2:13" ht="16" x14ac:dyDescent="0.2">
      <c r="F13" s="25"/>
      <c r="H13" s="25" t="s">
        <v>108</v>
      </c>
      <c r="J13" s="25" t="s">
        <v>108</v>
      </c>
      <c r="L13" s="25" t="s">
        <v>108</v>
      </c>
    </row>
    <row r="14" spans="2:13" ht="16" x14ac:dyDescent="0.2">
      <c r="F14" s="25"/>
      <c r="H14" s="25" t="s">
        <v>108</v>
      </c>
      <c r="J14" s="25" t="s">
        <v>108</v>
      </c>
      <c r="L14" s="25" t="s">
        <v>108</v>
      </c>
    </row>
    <row r="15" spans="2:13" ht="16" x14ac:dyDescent="0.2">
      <c r="F15" s="25"/>
      <c r="H15" s="25" t="s">
        <v>108</v>
      </c>
      <c r="J15" s="25" t="s">
        <v>108</v>
      </c>
      <c r="L15" s="25" t="s">
        <v>108</v>
      </c>
    </row>
    <row r="16" spans="2:13" ht="16" x14ac:dyDescent="0.2">
      <c r="F16" s="25"/>
      <c r="H16" s="25" t="s">
        <v>108</v>
      </c>
      <c r="J16" s="25" t="s">
        <v>108</v>
      </c>
      <c r="L16" s="25" t="s">
        <v>108</v>
      </c>
    </row>
    <row r="17" spans="6:12" ht="16" x14ac:dyDescent="0.2">
      <c r="F17" s="25"/>
      <c r="H17" s="25" t="s">
        <v>108</v>
      </c>
      <c r="J17" s="25" t="s">
        <v>108</v>
      </c>
      <c r="L17" s="25" t="s">
        <v>108</v>
      </c>
    </row>
    <row r="18" spans="6:12" ht="16" x14ac:dyDescent="0.2">
      <c r="F18" s="25"/>
      <c r="H18" s="25" t="s">
        <v>108</v>
      </c>
      <c r="J18" s="25" t="s">
        <v>108</v>
      </c>
      <c r="L18" s="25" t="s">
        <v>108</v>
      </c>
    </row>
    <row r="19" spans="6:12" ht="16" x14ac:dyDescent="0.2">
      <c r="F19" s="25"/>
      <c r="H19" s="25" t="s">
        <v>108</v>
      </c>
      <c r="J19" s="25" t="s">
        <v>108</v>
      </c>
      <c r="L19" s="25" t="s">
        <v>108</v>
      </c>
    </row>
    <row r="20" spans="6:12" ht="16" x14ac:dyDescent="0.2">
      <c r="F20" s="25"/>
      <c r="H20" s="25" t="s">
        <v>108</v>
      </c>
      <c r="J20" s="25" t="s">
        <v>108</v>
      </c>
      <c r="L20" s="25" t="s">
        <v>108</v>
      </c>
    </row>
    <row r="21" spans="6:12" ht="16" x14ac:dyDescent="0.2">
      <c r="F21" s="25"/>
      <c r="H21" s="25" t="s">
        <v>108</v>
      </c>
      <c r="J21" s="25" t="s">
        <v>108</v>
      </c>
      <c r="L21" s="25" t="s">
        <v>108</v>
      </c>
    </row>
    <row r="22" spans="6:12" ht="16" x14ac:dyDescent="0.2"/>
    <row r="23" spans="6:12" ht="16" x14ac:dyDescent="0.2"/>
    <row r="24" spans="6:12" ht="16" x14ac:dyDescent="0.2"/>
    <row r="25" spans="6:12" ht="16" x14ac:dyDescent="0.2"/>
    <row r="26" spans="6:12" ht="16" x14ac:dyDescent="0.2"/>
    <row r="27" spans="6:12" ht="16" x14ac:dyDescent="0.2"/>
    <row r="28" spans="6:12" ht="16" x14ac:dyDescent="0.2"/>
    <row r="29" spans="6:12" ht="16" x14ac:dyDescent="0.2"/>
    <row r="30" spans="6:12" ht="16" x14ac:dyDescent="0.2"/>
    <row r="31" spans="6:12" ht="16" x14ac:dyDescent="0.2"/>
    <row r="32" spans="6:12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75B2-0B60-0F49-98B6-C6E33CB82A97}">
  <dimension ref="A1:O20"/>
  <sheetViews>
    <sheetView workbookViewId="0"/>
  </sheetViews>
  <sheetFormatPr baseColWidth="10" defaultRowHeight="16" x14ac:dyDescent="0.2"/>
  <cols>
    <col min="1" max="1" width="8.6640625" bestFit="1" customWidth="1"/>
    <col min="2" max="2" width="13.6640625" bestFit="1" customWidth="1"/>
    <col min="3" max="3" width="16.1640625" bestFit="1" customWidth="1"/>
    <col min="4" max="4" width="13.6640625" bestFit="1" customWidth="1"/>
    <col min="5" max="5" width="13.1640625" bestFit="1" customWidth="1"/>
    <col min="6" max="6" width="23.5" bestFit="1" customWidth="1"/>
    <col min="7" max="7" width="21" bestFit="1" customWidth="1"/>
    <col min="8" max="8" width="22.5" bestFit="1" customWidth="1"/>
    <col min="9" max="9" width="15.83203125" bestFit="1" customWidth="1"/>
    <col min="10" max="10" width="7" bestFit="1" customWidth="1"/>
    <col min="11" max="11" width="17" bestFit="1" customWidth="1"/>
    <col min="12" max="12" width="10.33203125" bestFit="1" customWidth="1"/>
    <col min="13" max="13" width="22.5" bestFit="1" customWidth="1"/>
    <col min="14" max="14" width="22.83203125" bestFit="1" customWidth="1"/>
    <col min="15" max="15" width="15.1640625" bestFit="1" customWidth="1"/>
  </cols>
  <sheetData>
    <row r="1" spans="1:15" x14ac:dyDescent="0.2">
      <c r="A1" t="s">
        <v>33</v>
      </c>
      <c r="B1" t="s">
        <v>34</v>
      </c>
      <c r="C1" t="s">
        <v>35</v>
      </c>
      <c r="D1" t="s">
        <v>36</v>
      </c>
      <c r="E1" t="s">
        <v>77</v>
      </c>
      <c r="F1" t="s">
        <v>90</v>
      </c>
      <c r="G1" t="s">
        <v>91</v>
      </c>
      <c r="H1" t="s">
        <v>92</v>
      </c>
      <c r="I1" t="s">
        <v>76</v>
      </c>
      <c r="J1" t="s">
        <v>42</v>
      </c>
      <c r="K1" t="s">
        <v>38</v>
      </c>
      <c r="L1" t="s">
        <v>39</v>
      </c>
      <c r="M1" t="s">
        <v>40</v>
      </c>
      <c r="N1" t="s">
        <v>41</v>
      </c>
      <c r="O1" t="s">
        <v>73</v>
      </c>
    </row>
    <row r="2" spans="1:15" x14ac:dyDescent="0.2">
      <c r="A2" s="25" t="s">
        <v>105</v>
      </c>
      <c r="B2" s="25"/>
      <c r="C2" s="25" t="s">
        <v>78</v>
      </c>
      <c r="D2" s="25" t="s">
        <v>74</v>
      </c>
      <c r="E2" s="25" t="s">
        <v>0</v>
      </c>
      <c r="F2">
        <v>90</v>
      </c>
      <c r="G2">
        <v>5</v>
      </c>
      <c r="H2">
        <v>94.5</v>
      </c>
      <c r="I2">
        <v>90</v>
      </c>
      <c r="J2" s="25" t="s">
        <v>11</v>
      </c>
      <c r="K2">
        <v>2.7080961343821001E-4</v>
      </c>
      <c r="L2" s="25" t="s">
        <v>65</v>
      </c>
      <c r="M2">
        <v>2.4372865209438901E-2</v>
      </c>
      <c r="N2" s="25" t="s">
        <v>31</v>
      </c>
      <c r="O2">
        <v>12.600000000000001</v>
      </c>
    </row>
    <row r="3" spans="1:15" x14ac:dyDescent="0.2">
      <c r="A3" s="25" t="s">
        <v>105</v>
      </c>
      <c r="B3" s="25" t="s">
        <v>106</v>
      </c>
      <c r="C3" s="25" t="s">
        <v>78</v>
      </c>
      <c r="D3" s="25" t="s">
        <v>74</v>
      </c>
      <c r="E3" s="25" t="s">
        <v>0</v>
      </c>
      <c r="F3">
        <v>30</v>
      </c>
      <c r="G3">
        <v>5</v>
      </c>
      <c r="H3">
        <v>94.5</v>
      </c>
      <c r="I3">
        <v>30</v>
      </c>
      <c r="J3" s="25" t="s">
        <v>11</v>
      </c>
      <c r="K3">
        <v>2.7080961343821001E-4</v>
      </c>
      <c r="L3" s="25" t="s">
        <v>65</v>
      </c>
      <c r="M3">
        <v>8.1242884031462997E-3</v>
      </c>
      <c r="N3" s="25" t="s">
        <v>31</v>
      </c>
      <c r="O3">
        <v>4.2</v>
      </c>
    </row>
    <row r="4" spans="1:15" x14ac:dyDescent="0.2">
      <c r="A4" s="25"/>
      <c r="B4" s="25"/>
      <c r="C4" s="25" t="s">
        <v>108</v>
      </c>
      <c r="D4" s="25" t="s">
        <v>108</v>
      </c>
      <c r="E4" s="25" t="s">
        <v>108</v>
      </c>
      <c r="J4" s="25" t="s">
        <v>108</v>
      </c>
      <c r="L4" s="25" t="s">
        <v>108</v>
      </c>
      <c r="N4" s="25" t="s">
        <v>108</v>
      </c>
    </row>
    <row r="5" spans="1:15" x14ac:dyDescent="0.2">
      <c r="A5" s="25"/>
      <c r="B5" s="25"/>
      <c r="C5" s="25" t="s">
        <v>108</v>
      </c>
      <c r="D5" s="25" t="s">
        <v>108</v>
      </c>
      <c r="E5" s="25" t="s">
        <v>108</v>
      </c>
      <c r="J5" s="25" t="s">
        <v>108</v>
      </c>
      <c r="L5" s="25" t="s">
        <v>108</v>
      </c>
      <c r="N5" s="25" t="s">
        <v>108</v>
      </c>
    </row>
    <row r="6" spans="1:15" x14ac:dyDescent="0.2">
      <c r="A6" s="25"/>
      <c r="B6" s="25"/>
      <c r="C6" s="25" t="s">
        <v>108</v>
      </c>
      <c r="D6" s="25" t="s">
        <v>108</v>
      </c>
      <c r="E6" s="25" t="s">
        <v>108</v>
      </c>
      <c r="J6" s="25" t="s">
        <v>108</v>
      </c>
      <c r="L6" s="25" t="s">
        <v>108</v>
      </c>
      <c r="N6" s="25" t="s">
        <v>108</v>
      </c>
    </row>
    <row r="7" spans="1:15" x14ac:dyDescent="0.2">
      <c r="A7" s="25"/>
      <c r="B7" s="25"/>
      <c r="C7" s="25" t="s">
        <v>108</v>
      </c>
      <c r="D7" s="25" t="s">
        <v>108</v>
      </c>
      <c r="E7" s="25" t="s">
        <v>108</v>
      </c>
      <c r="J7" s="25" t="s">
        <v>108</v>
      </c>
      <c r="L7" s="25" t="s">
        <v>108</v>
      </c>
      <c r="N7" s="25" t="s">
        <v>108</v>
      </c>
    </row>
    <row r="8" spans="1:15" x14ac:dyDescent="0.2">
      <c r="A8" s="25"/>
      <c r="B8" s="25"/>
      <c r="C8" s="25" t="s">
        <v>108</v>
      </c>
      <c r="D8" s="25" t="s">
        <v>108</v>
      </c>
      <c r="E8" s="25" t="s">
        <v>108</v>
      </c>
      <c r="J8" s="25" t="s">
        <v>108</v>
      </c>
      <c r="L8" s="25" t="s">
        <v>108</v>
      </c>
      <c r="N8" s="25" t="s">
        <v>108</v>
      </c>
    </row>
    <row r="9" spans="1:15" x14ac:dyDescent="0.2">
      <c r="A9" s="25"/>
      <c r="B9" s="25"/>
      <c r="C9" s="25" t="s">
        <v>108</v>
      </c>
      <c r="D9" s="25" t="s">
        <v>108</v>
      </c>
      <c r="E9" s="25" t="s">
        <v>108</v>
      </c>
      <c r="J9" s="25" t="s">
        <v>108</v>
      </c>
      <c r="L9" s="25" t="s">
        <v>108</v>
      </c>
      <c r="N9" s="25" t="s">
        <v>108</v>
      </c>
    </row>
    <row r="10" spans="1:15" x14ac:dyDescent="0.2">
      <c r="A10" s="25"/>
      <c r="B10" s="25"/>
      <c r="C10" s="25" t="s">
        <v>108</v>
      </c>
      <c r="D10" s="25" t="s">
        <v>108</v>
      </c>
      <c r="E10" s="25" t="s">
        <v>108</v>
      </c>
      <c r="J10" s="25" t="s">
        <v>108</v>
      </c>
      <c r="L10" s="25" t="s">
        <v>108</v>
      </c>
      <c r="N10" s="25" t="s">
        <v>108</v>
      </c>
    </row>
    <row r="11" spans="1:15" x14ac:dyDescent="0.2">
      <c r="A11" s="25"/>
      <c r="B11" s="25"/>
      <c r="C11" s="25" t="s">
        <v>108</v>
      </c>
      <c r="D11" s="25" t="s">
        <v>108</v>
      </c>
      <c r="E11" s="25" t="s">
        <v>108</v>
      </c>
      <c r="J11" s="25" t="s">
        <v>108</v>
      </c>
      <c r="L11" s="25" t="s">
        <v>108</v>
      </c>
      <c r="N11" s="25" t="s">
        <v>108</v>
      </c>
    </row>
    <row r="12" spans="1:15" x14ac:dyDescent="0.2">
      <c r="A12" s="25"/>
      <c r="B12" s="25"/>
      <c r="C12" s="25" t="s">
        <v>108</v>
      </c>
      <c r="D12" s="25" t="s">
        <v>108</v>
      </c>
      <c r="E12" s="25" t="s">
        <v>108</v>
      </c>
      <c r="J12" s="25" t="s">
        <v>108</v>
      </c>
      <c r="L12" s="25" t="s">
        <v>108</v>
      </c>
      <c r="N12" s="25" t="s">
        <v>108</v>
      </c>
    </row>
    <row r="13" spans="1:15" x14ac:dyDescent="0.2">
      <c r="A13" s="25"/>
      <c r="B13" s="25"/>
      <c r="C13" s="25" t="s">
        <v>108</v>
      </c>
      <c r="D13" s="25" t="s">
        <v>108</v>
      </c>
      <c r="E13" s="25" t="s">
        <v>108</v>
      </c>
      <c r="J13" s="25" t="s">
        <v>108</v>
      </c>
      <c r="L13" s="25" t="s">
        <v>108</v>
      </c>
      <c r="N13" s="25" t="s">
        <v>108</v>
      </c>
    </row>
    <row r="14" spans="1:15" x14ac:dyDescent="0.2">
      <c r="A14" s="25"/>
      <c r="B14" s="25"/>
      <c r="C14" s="25" t="s">
        <v>108</v>
      </c>
      <c r="D14" s="25" t="s">
        <v>108</v>
      </c>
      <c r="E14" s="25" t="s">
        <v>108</v>
      </c>
      <c r="J14" s="25" t="s">
        <v>108</v>
      </c>
      <c r="L14" s="25" t="s">
        <v>108</v>
      </c>
      <c r="N14" s="25" t="s">
        <v>108</v>
      </c>
    </row>
    <row r="15" spans="1:15" x14ac:dyDescent="0.2">
      <c r="A15" s="25"/>
      <c r="B15" s="25"/>
      <c r="C15" s="25" t="s">
        <v>108</v>
      </c>
      <c r="D15" s="25" t="s">
        <v>108</v>
      </c>
      <c r="E15" s="25" t="s">
        <v>108</v>
      </c>
      <c r="J15" s="25" t="s">
        <v>108</v>
      </c>
      <c r="L15" s="25" t="s">
        <v>108</v>
      </c>
      <c r="N15" s="25" t="s">
        <v>108</v>
      </c>
    </row>
    <row r="16" spans="1:15" x14ac:dyDescent="0.2">
      <c r="A16" s="25"/>
      <c r="B16" s="25"/>
      <c r="C16" s="25" t="s">
        <v>108</v>
      </c>
      <c r="D16" s="25" t="s">
        <v>108</v>
      </c>
      <c r="E16" s="25" t="s">
        <v>108</v>
      </c>
      <c r="J16" s="25" t="s">
        <v>108</v>
      </c>
      <c r="L16" s="25" t="s">
        <v>108</v>
      </c>
      <c r="N16" s="25" t="s">
        <v>108</v>
      </c>
    </row>
    <row r="17" spans="1:14" x14ac:dyDescent="0.2">
      <c r="A17" s="25"/>
      <c r="B17" s="25"/>
      <c r="C17" s="25" t="s">
        <v>108</v>
      </c>
      <c r="D17" s="25" t="s">
        <v>108</v>
      </c>
      <c r="E17" s="25" t="s">
        <v>108</v>
      </c>
      <c r="J17" s="25" t="s">
        <v>108</v>
      </c>
      <c r="L17" s="25" t="s">
        <v>108</v>
      </c>
      <c r="N17" s="25" t="s">
        <v>108</v>
      </c>
    </row>
    <row r="18" spans="1:14" x14ac:dyDescent="0.2">
      <c r="A18" s="25"/>
      <c r="B18" s="25"/>
      <c r="C18" s="25" t="s">
        <v>108</v>
      </c>
      <c r="D18" s="25" t="s">
        <v>108</v>
      </c>
      <c r="E18" s="25" t="s">
        <v>108</v>
      </c>
      <c r="J18" s="25" t="s">
        <v>108</v>
      </c>
      <c r="L18" s="25" t="s">
        <v>108</v>
      </c>
      <c r="N18" s="25" t="s">
        <v>108</v>
      </c>
    </row>
    <row r="19" spans="1:14" x14ac:dyDescent="0.2">
      <c r="A19" s="25"/>
      <c r="B19" s="25"/>
      <c r="C19" s="25" t="s">
        <v>108</v>
      </c>
      <c r="D19" s="25" t="s">
        <v>108</v>
      </c>
      <c r="E19" s="25" t="s">
        <v>108</v>
      </c>
      <c r="J19" s="25" t="s">
        <v>108</v>
      </c>
      <c r="L19" s="25" t="s">
        <v>108</v>
      </c>
      <c r="N19" s="25" t="s">
        <v>108</v>
      </c>
    </row>
    <row r="20" spans="1:14" x14ac:dyDescent="0.2">
      <c r="A20" s="25"/>
      <c r="B20" s="25"/>
      <c r="C20" s="25" t="s">
        <v>108</v>
      </c>
      <c r="D20" s="25" t="s">
        <v>108</v>
      </c>
      <c r="E20" s="25" t="s">
        <v>108</v>
      </c>
      <c r="J20" s="25" t="s">
        <v>108</v>
      </c>
      <c r="L20" s="25" t="s">
        <v>108</v>
      </c>
      <c r="N20" s="25" t="s">
        <v>108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F48F-5AEC-BF4C-8F9C-445981B020D3}">
  <dimension ref="A1:N20"/>
  <sheetViews>
    <sheetView workbookViewId="0"/>
  </sheetViews>
  <sheetFormatPr baseColWidth="10" defaultRowHeight="16" x14ac:dyDescent="0.2"/>
  <cols>
    <col min="1" max="1" width="8.6640625" bestFit="1" customWidth="1"/>
    <col min="2" max="2" width="11.1640625" bestFit="1" customWidth="1"/>
    <col min="3" max="3" width="16.1640625" bestFit="1" customWidth="1"/>
    <col min="4" max="4" width="13.6640625" bestFit="1" customWidth="1"/>
    <col min="5" max="5" width="15.1640625" bestFit="1" customWidth="1"/>
    <col min="6" max="6" width="20.6640625" bestFit="1" customWidth="1"/>
    <col min="7" max="7" width="19.33203125" bestFit="1" customWidth="1"/>
    <col min="8" max="8" width="15.83203125" bestFit="1" customWidth="1"/>
    <col min="9" max="9" width="7" bestFit="1" customWidth="1"/>
    <col min="10" max="10" width="17" bestFit="1" customWidth="1"/>
    <col min="11" max="11" width="10.33203125" bestFit="1" customWidth="1"/>
    <col min="12" max="12" width="22.5" bestFit="1" customWidth="1"/>
    <col min="13" max="13" width="22.83203125" bestFit="1" customWidth="1"/>
    <col min="14" max="14" width="15.1640625" bestFit="1" customWidth="1"/>
    <col min="15" max="15" width="20.5" bestFit="1" customWidth="1"/>
    <col min="16" max="16" width="13.1640625" bestFit="1" customWidth="1"/>
    <col min="17" max="17" width="23.5" bestFit="1" customWidth="1"/>
    <col min="18" max="18" width="21" bestFit="1" customWidth="1"/>
    <col min="19" max="19" width="22.5" bestFit="1" customWidth="1"/>
  </cols>
  <sheetData>
    <row r="1" spans="1:14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103</v>
      </c>
      <c r="G1" t="s">
        <v>104</v>
      </c>
      <c r="H1" t="s">
        <v>76</v>
      </c>
      <c r="I1" t="s">
        <v>42</v>
      </c>
      <c r="J1" t="s">
        <v>38</v>
      </c>
      <c r="K1" t="s">
        <v>39</v>
      </c>
      <c r="L1" t="s">
        <v>40</v>
      </c>
      <c r="M1" t="s">
        <v>41</v>
      </c>
      <c r="N1" t="s">
        <v>73</v>
      </c>
    </row>
    <row r="2" spans="1:14" x14ac:dyDescent="0.2">
      <c r="A2" s="25" t="s">
        <v>105</v>
      </c>
      <c r="B2" s="25" t="s">
        <v>107</v>
      </c>
      <c r="C2" s="25" t="s">
        <v>75</v>
      </c>
      <c r="E2" s="25" t="s">
        <v>4</v>
      </c>
      <c r="F2">
        <v>1</v>
      </c>
      <c r="G2">
        <v>3</v>
      </c>
      <c r="H2">
        <v>2</v>
      </c>
      <c r="I2" s="25" t="s">
        <v>10</v>
      </c>
      <c r="J2">
        <v>5.3114366471734894E-3</v>
      </c>
      <c r="K2" s="25" t="s">
        <v>67</v>
      </c>
      <c r="L2">
        <v>1.0622873294346979E-2</v>
      </c>
      <c r="M2" s="25" t="s">
        <v>31</v>
      </c>
      <c r="N2">
        <v>2.4</v>
      </c>
    </row>
    <row r="3" spans="1:14" x14ac:dyDescent="0.2">
      <c r="A3" s="25"/>
      <c r="B3" s="25" t="s">
        <v>108</v>
      </c>
      <c r="C3" s="25" t="s">
        <v>108</v>
      </c>
      <c r="E3" s="25"/>
      <c r="F3">
        <v>5</v>
      </c>
      <c r="G3">
        <v>2</v>
      </c>
      <c r="H3">
        <v>-3</v>
      </c>
      <c r="I3" s="25" t="s">
        <v>108</v>
      </c>
      <c r="K3" s="25" t="s">
        <v>108</v>
      </c>
      <c r="M3" s="25" t="s">
        <v>108</v>
      </c>
    </row>
    <row r="4" spans="1:14" x14ac:dyDescent="0.2">
      <c r="A4" s="25"/>
      <c r="B4" s="25" t="s">
        <v>108</v>
      </c>
      <c r="C4" s="25" t="s">
        <v>108</v>
      </c>
      <c r="E4" s="25"/>
      <c r="I4" s="25" t="s">
        <v>108</v>
      </c>
      <c r="K4" s="25" t="s">
        <v>108</v>
      </c>
      <c r="M4" s="25" t="s">
        <v>108</v>
      </c>
    </row>
    <row r="5" spans="1:14" x14ac:dyDescent="0.2">
      <c r="A5" s="25"/>
      <c r="B5" s="25" t="s">
        <v>108</v>
      </c>
      <c r="C5" s="25" t="s">
        <v>108</v>
      </c>
      <c r="E5" s="25"/>
      <c r="I5" s="25" t="s">
        <v>108</v>
      </c>
      <c r="K5" s="25" t="s">
        <v>108</v>
      </c>
      <c r="M5" s="25" t="s">
        <v>108</v>
      </c>
    </row>
    <row r="6" spans="1:14" x14ac:dyDescent="0.2">
      <c r="A6" s="25"/>
      <c r="B6" s="25" t="s">
        <v>108</v>
      </c>
      <c r="C6" s="25" t="s">
        <v>108</v>
      </c>
      <c r="E6" s="25"/>
      <c r="I6" s="25" t="s">
        <v>108</v>
      </c>
      <c r="K6" s="25" t="s">
        <v>108</v>
      </c>
      <c r="M6" s="25" t="s">
        <v>108</v>
      </c>
    </row>
    <row r="7" spans="1:14" x14ac:dyDescent="0.2">
      <c r="A7" s="25"/>
      <c r="B7" s="25" t="s">
        <v>108</v>
      </c>
      <c r="C7" s="25" t="s">
        <v>108</v>
      </c>
      <c r="E7" s="25"/>
      <c r="I7" s="25" t="s">
        <v>108</v>
      </c>
      <c r="K7" s="25" t="s">
        <v>108</v>
      </c>
      <c r="M7" s="25" t="s">
        <v>108</v>
      </c>
    </row>
    <row r="8" spans="1:14" x14ac:dyDescent="0.2">
      <c r="A8" s="25"/>
      <c r="B8" s="25" t="s">
        <v>108</v>
      </c>
      <c r="C8" s="25" t="s">
        <v>108</v>
      </c>
      <c r="E8" s="25"/>
      <c r="I8" s="25" t="s">
        <v>108</v>
      </c>
      <c r="K8" s="25" t="s">
        <v>108</v>
      </c>
      <c r="M8" s="25" t="s">
        <v>108</v>
      </c>
    </row>
    <row r="9" spans="1:14" x14ac:dyDescent="0.2">
      <c r="A9" s="25"/>
      <c r="B9" s="25" t="s">
        <v>108</v>
      </c>
      <c r="C9" s="25" t="s">
        <v>108</v>
      </c>
      <c r="E9" s="25"/>
      <c r="I9" s="25" t="s">
        <v>108</v>
      </c>
      <c r="K9" s="25" t="s">
        <v>108</v>
      </c>
      <c r="M9" s="25" t="s">
        <v>108</v>
      </c>
    </row>
    <row r="10" spans="1:14" x14ac:dyDescent="0.2">
      <c r="A10" s="25"/>
      <c r="B10" s="25" t="s">
        <v>108</v>
      </c>
      <c r="C10" s="25" t="s">
        <v>108</v>
      </c>
      <c r="E10" s="25"/>
      <c r="I10" s="25" t="s">
        <v>108</v>
      </c>
      <c r="K10" s="25" t="s">
        <v>108</v>
      </c>
      <c r="M10" s="25" t="s">
        <v>108</v>
      </c>
    </row>
    <row r="11" spans="1:14" x14ac:dyDescent="0.2">
      <c r="A11" s="25"/>
      <c r="B11" s="25" t="s">
        <v>108</v>
      </c>
      <c r="C11" s="25" t="s">
        <v>108</v>
      </c>
      <c r="E11" s="25"/>
      <c r="I11" s="25" t="s">
        <v>108</v>
      </c>
      <c r="K11" s="25" t="s">
        <v>108</v>
      </c>
      <c r="M11" s="25" t="s">
        <v>108</v>
      </c>
    </row>
    <row r="12" spans="1:14" x14ac:dyDescent="0.2">
      <c r="A12" s="25"/>
      <c r="B12" s="25" t="s">
        <v>108</v>
      </c>
      <c r="C12" s="25" t="s">
        <v>108</v>
      </c>
      <c r="E12" s="25"/>
      <c r="I12" s="25" t="s">
        <v>108</v>
      </c>
      <c r="K12" s="25" t="s">
        <v>108</v>
      </c>
      <c r="M12" s="25" t="s">
        <v>108</v>
      </c>
    </row>
    <row r="13" spans="1:14" x14ac:dyDescent="0.2">
      <c r="A13" s="25"/>
      <c r="B13" s="25" t="s">
        <v>108</v>
      </c>
      <c r="C13" s="25" t="s">
        <v>108</v>
      </c>
      <c r="E13" s="25"/>
      <c r="I13" s="25" t="s">
        <v>108</v>
      </c>
      <c r="K13" s="25" t="s">
        <v>108</v>
      </c>
      <c r="M13" s="25" t="s">
        <v>108</v>
      </c>
    </row>
    <row r="14" spans="1:14" x14ac:dyDescent="0.2">
      <c r="A14" s="25"/>
      <c r="B14" s="25" t="s">
        <v>108</v>
      </c>
      <c r="C14" s="25" t="s">
        <v>108</v>
      </c>
      <c r="E14" s="25"/>
      <c r="I14" s="25" t="s">
        <v>108</v>
      </c>
      <c r="K14" s="25" t="s">
        <v>108</v>
      </c>
      <c r="M14" s="25" t="s">
        <v>108</v>
      </c>
    </row>
    <row r="15" spans="1:14" x14ac:dyDescent="0.2">
      <c r="A15" s="25"/>
      <c r="B15" s="25" t="s">
        <v>108</v>
      </c>
      <c r="C15" s="25" t="s">
        <v>108</v>
      </c>
      <c r="E15" s="25"/>
      <c r="I15" s="25" t="s">
        <v>108</v>
      </c>
      <c r="K15" s="25" t="s">
        <v>108</v>
      </c>
      <c r="M15" s="25" t="s">
        <v>108</v>
      </c>
    </row>
    <row r="16" spans="1:14" x14ac:dyDescent="0.2">
      <c r="A16" s="25"/>
      <c r="B16" s="25" t="s">
        <v>108</v>
      </c>
      <c r="C16" s="25" t="s">
        <v>108</v>
      </c>
      <c r="E16" s="25"/>
      <c r="I16" s="25" t="s">
        <v>108</v>
      </c>
      <c r="K16" s="25" t="s">
        <v>108</v>
      </c>
      <c r="M16" s="25" t="s">
        <v>108</v>
      </c>
    </row>
    <row r="17" spans="1:13" x14ac:dyDescent="0.2">
      <c r="A17" s="25"/>
      <c r="B17" s="25" t="s">
        <v>108</v>
      </c>
      <c r="C17" s="25" t="s">
        <v>108</v>
      </c>
      <c r="E17" s="25"/>
      <c r="I17" s="25" t="s">
        <v>108</v>
      </c>
      <c r="K17" s="25" t="s">
        <v>108</v>
      </c>
      <c r="M17" s="25" t="s">
        <v>108</v>
      </c>
    </row>
    <row r="18" spans="1:13" x14ac:dyDescent="0.2">
      <c r="A18" s="25"/>
      <c r="B18" s="25" t="s">
        <v>108</v>
      </c>
      <c r="C18" s="25" t="s">
        <v>108</v>
      </c>
      <c r="E18" s="25"/>
      <c r="I18" s="25" t="s">
        <v>108</v>
      </c>
      <c r="K18" s="25" t="s">
        <v>108</v>
      </c>
      <c r="M18" s="25" t="s">
        <v>108</v>
      </c>
    </row>
    <row r="19" spans="1:13" x14ac:dyDescent="0.2">
      <c r="A19" s="25"/>
      <c r="B19" s="25" t="s">
        <v>108</v>
      </c>
      <c r="C19" s="25" t="s">
        <v>108</v>
      </c>
      <c r="E19" s="25"/>
      <c r="I19" s="25" t="s">
        <v>108</v>
      </c>
      <c r="K19" s="25" t="s">
        <v>108</v>
      </c>
      <c r="M19" s="25" t="s">
        <v>108</v>
      </c>
    </row>
    <row r="20" spans="1:13" x14ac:dyDescent="0.2">
      <c r="A20" s="25"/>
      <c r="B20" s="25" t="s">
        <v>108</v>
      </c>
      <c r="C20" s="25" t="s">
        <v>108</v>
      </c>
      <c r="E20" s="25"/>
      <c r="I20" s="25" t="s">
        <v>108</v>
      </c>
      <c r="K20" s="25" t="s">
        <v>108</v>
      </c>
      <c r="M20" s="25" t="s">
        <v>108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4817-5B50-9C4E-9B1B-8CF8247251D0}">
  <dimension ref="A1:Q73"/>
  <sheetViews>
    <sheetView showGridLines="0" zoomScale="75" zoomScaleNormal="59" workbookViewId="0">
      <selection activeCell="Q33" sqref="Q33"/>
    </sheetView>
  </sheetViews>
  <sheetFormatPr baseColWidth="10" defaultRowHeight="16" x14ac:dyDescent="0.2"/>
  <cols>
    <col min="1" max="1" width="10.83203125" customWidth="1"/>
    <col min="2" max="2" width="25.6640625" bestFit="1" customWidth="1"/>
    <col min="3" max="3" width="17.33203125" bestFit="1" customWidth="1"/>
    <col min="4" max="4" width="14.1640625" bestFit="1" customWidth="1"/>
    <col min="5" max="5" width="17.5" bestFit="1" customWidth="1"/>
    <col min="6" max="6" width="8.1640625" bestFit="1" customWidth="1"/>
    <col min="7" max="7" width="10.1640625" bestFit="1" customWidth="1"/>
    <col min="8" max="8" width="13" bestFit="1" customWidth="1"/>
    <col min="9" max="9" width="12.6640625" bestFit="1" customWidth="1"/>
    <col min="10" max="10" width="15.5" bestFit="1" customWidth="1"/>
    <col min="11" max="11" width="31.5" bestFit="1" customWidth="1"/>
    <col min="12" max="12" width="11.33203125" bestFit="1" customWidth="1"/>
    <col min="13" max="13" width="11" bestFit="1" customWidth="1"/>
    <col min="14" max="14" width="11.33203125" bestFit="1" customWidth="1"/>
    <col min="15" max="15" width="11" bestFit="1" customWidth="1"/>
    <col min="16" max="19" width="10.83203125" customWidth="1"/>
  </cols>
  <sheetData>
    <row r="1" spans="1:17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30"/>
      <c r="P1" s="30"/>
      <c r="Q1" s="27"/>
    </row>
    <row r="2" spans="1:17" ht="32" x14ac:dyDescent="0.4">
      <c r="A2" s="45"/>
      <c r="B2" s="46"/>
      <c r="C2" s="46"/>
      <c r="D2" s="46"/>
      <c r="E2" s="70" t="s">
        <v>142</v>
      </c>
      <c r="F2" s="41"/>
      <c r="G2" s="41"/>
      <c r="H2" s="41"/>
      <c r="I2" s="41"/>
      <c r="J2" s="71"/>
      <c r="K2" s="46"/>
      <c r="L2" s="46"/>
      <c r="M2" s="46"/>
      <c r="N2" s="47"/>
      <c r="O2" s="30"/>
      <c r="P2" s="30"/>
      <c r="Q2" s="27"/>
    </row>
    <row r="3" spans="1:17" ht="20" customHeight="1" x14ac:dyDescent="0.4">
      <c r="A3" s="45"/>
      <c r="B3" s="46"/>
      <c r="C3" s="46"/>
      <c r="D3" s="46"/>
      <c r="E3" s="46"/>
      <c r="F3" s="51"/>
      <c r="G3" s="51"/>
      <c r="H3" s="51"/>
      <c r="I3" s="51"/>
      <c r="J3" s="46"/>
      <c r="K3" s="46"/>
      <c r="L3" s="46"/>
      <c r="M3" s="46"/>
      <c r="N3" s="47"/>
      <c r="O3" s="30"/>
      <c r="P3" s="30"/>
      <c r="Q3" s="27"/>
    </row>
    <row r="4" spans="1:17" ht="24" x14ac:dyDescent="0.3">
      <c r="A4" s="45"/>
      <c r="B4" s="46"/>
      <c r="C4" s="46"/>
      <c r="D4" s="52" t="s">
        <v>73</v>
      </c>
      <c r="E4" s="53"/>
      <c r="F4" s="46"/>
      <c r="G4" s="46"/>
      <c r="H4" s="46"/>
      <c r="I4" s="46"/>
      <c r="J4" s="52" t="s">
        <v>131</v>
      </c>
      <c r="K4" s="53"/>
      <c r="L4" s="46"/>
      <c r="M4" s="46"/>
      <c r="N4" s="47"/>
      <c r="O4" s="30"/>
      <c r="P4" s="30"/>
    </row>
    <row r="5" spans="1:17" x14ac:dyDescent="0.2">
      <c r="A5" s="45"/>
      <c r="B5" s="46"/>
      <c r="C5" s="46"/>
      <c r="D5" s="55" t="s">
        <v>145</v>
      </c>
      <c r="E5" s="7" t="s">
        <v>124</v>
      </c>
      <c r="F5" s="46"/>
      <c r="G5" s="46"/>
      <c r="H5" s="46"/>
      <c r="I5" s="46"/>
      <c r="J5" s="55" t="s">
        <v>145</v>
      </c>
      <c r="K5" s="7" t="s">
        <v>125</v>
      </c>
      <c r="L5" s="46"/>
      <c r="M5" s="46"/>
      <c r="N5" s="47"/>
      <c r="O5" s="30"/>
      <c r="P5" s="30"/>
    </row>
    <row r="6" spans="1:17" x14ac:dyDescent="0.2">
      <c r="A6" s="45"/>
      <c r="B6" s="46"/>
      <c r="C6" s="46"/>
      <c r="D6" s="57" t="s">
        <v>110</v>
      </c>
      <c r="E6" s="66">
        <v>1933.5</v>
      </c>
      <c r="F6" s="46"/>
      <c r="G6" s="46"/>
      <c r="H6" s="46"/>
      <c r="I6" s="46"/>
      <c r="J6" s="57" t="s">
        <v>110</v>
      </c>
      <c r="K6" s="66">
        <v>5.6350804370529062</v>
      </c>
      <c r="L6" s="46"/>
      <c r="M6" s="46"/>
      <c r="N6" s="47"/>
      <c r="O6" s="30"/>
      <c r="P6" s="30"/>
    </row>
    <row r="7" spans="1:17" x14ac:dyDescent="0.2">
      <c r="A7" s="45"/>
      <c r="B7" s="46"/>
      <c r="C7" s="46"/>
      <c r="D7" s="57" t="s">
        <v>71</v>
      </c>
      <c r="E7" s="67">
        <v>346.80000000000007</v>
      </c>
      <c r="F7" s="46"/>
      <c r="G7" s="46"/>
      <c r="H7" s="46"/>
      <c r="I7" s="46"/>
      <c r="J7" s="57" t="s">
        <v>71</v>
      </c>
      <c r="K7" s="67">
        <v>0.48094725931955939</v>
      </c>
      <c r="L7" s="46"/>
      <c r="M7" s="46"/>
      <c r="N7" s="47"/>
      <c r="O7" s="30"/>
      <c r="P7" s="30"/>
    </row>
    <row r="8" spans="1:17" x14ac:dyDescent="0.2">
      <c r="A8" s="45"/>
      <c r="B8" s="46"/>
      <c r="C8" s="46"/>
      <c r="D8" s="65" t="s">
        <v>122</v>
      </c>
      <c r="E8" s="76">
        <v>2280.3000000000002</v>
      </c>
      <c r="F8" s="46"/>
      <c r="G8" s="46"/>
      <c r="H8" s="46"/>
      <c r="I8" s="46"/>
      <c r="J8" s="65" t="s">
        <v>122</v>
      </c>
      <c r="K8" s="76">
        <v>6.1160276963724653</v>
      </c>
      <c r="L8" s="46"/>
      <c r="M8" s="46"/>
      <c r="N8" s="47"/>
      <c r="O8" s="30"/>
      <c r="P8" s="30"/>
    </row>
    <row r="9" spans="1:17" x14ac:dyDescent="0.2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30"/>
      <c r="P9" s="30"/>
    </row>
    <row r="10" spans="1:17" x14ac:dyDescent="0.2">
      <c r="A10" s="4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47"/>
      <c r="O10" s="30"/>
      <c r="P10" s="30"/>
    </row>
    <row r="11" spans="1:17" x14ac:dyDescent="0.2">
      <c r="A11" s="4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47"/>
      <c r="P11" s="30"/>
    </row>
    <row r="12" spans="1:17" ht="24" x14ac:dyDescent="0.3">
      <c r="A12" s="45"/>
      <c r="B12" s="72" t="s">
        <v>132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4"/>
      <c r="N12" s="47"/>
      <c r="P12" s="30"/>
    </row>
    <row r="13" spans="1:17" x14ac:dyDescent="0.2">
      <c r="A13" s="45"/>
      <c r="B13" s="55" t="s">
        <v>126</v>
      </c>
      <c r="C13" s="56" t="s">
        <v>123</v>
      </c>
      <c r="D13" s="2"/>
      <c r="E13" s="2"/>
      <c r="F13" s="2"/>
      <c r="G13" s="2"/>
      <c r="H13" s="2"/>
      <c r="I13" s="2"/>
      <c r="J13" s="2"/>
      <c r="K13" s="2"/>
      <c r="L13" s="2"/>
      <c r="M13" s="3"/>
      <c r="N13" s="47"/>
      <c r="P13" s="30"/>
    </row>
    <row r="14" spans="1:17" x14ac:dyDescent="0.2">
      <c r="A14" s="45"/>
      <c r="B14" s="13"/>
      <c r="C14" s="27" t="s">
        <v>0</v>
      </c>
      <c r="D14" s="27" t="s">
        <v>127</v>
      </c>
      <c r="E14" s="27" t="s">
        <v>2</v>
      </c>
      <c r="F14" s="27" t="s">
        <v>128</v>
      </c>
      <c r="G14" s="27" t="s">
        <v>1</v>
      </c>
      <c r="H14" s="27" t="s">
        <v>129</v>
      </c>
      <c r="I14" s="27" t="s">
        <v>4</v>
      </c>
      <c r="J14" s="27" t="s">
        <v>136</v>
      </c>
      <c r="K14" s="27" t="s">
        <v>20</v>
      </c>
      <c r="L14" s="27" t="s">
        <v>137</v>
      </c>
      <c r="M14" s="28" t="s">
        <v>122</v>
      </c>
      <c r="N14" s="47"/>
      <c r="P14" s="30"/>
    </row>
    <row r="15" spans="1:17" x14ac:dyDescent="0.2">
      <c r="A15" s="45"/>
      <c r="B15" s="75" t="s">
        <v>145</v>
      </c>
      <c r="C15" s="5" t="s">
        <v>11</v>
      </c>
      <c r="D15" s="5"/>
      <c r="E15" s="5" t="s">
        <v>12</v>
      </c>
      <c r="F15" s="5"/>
      <c r="G15" s="5" t="s">
        <v>12</v>
      </c>
      <c r="H15" s="5"/>
      <c r="I15" s="5" t="s">
        <v>10</v>
      </c>
      <c r="J15" s="5"/>
      <c r="K15" s="5" t="s">
        <v>12</v>
      </c>
      <c r="L15" s="5"/>
      <c r="M15" s="6"/>
      <c r="N15" s="47"/>
      <c r="P15" s="30"/>
    </row>
    <row r="16" spans="1:17" x14ac:dyDescent="0.2">
      <c r="A16" s="45"/>
      <c r="B16" s="57" t="s">
        <v>110</v>
      </c>
      <c r="C16" s="40">
        <v>300</v>
      </c>
      <c r="D16" s="40">
        <v>300</v>
      </c>
      <c r="E16" s="40">
        <v>90</v>
      </c>
      <c r="F16" s="40">
        <v>90</v>
      </c>
      <c r="G16" s="40">
        <v>70</v>
      </c>
      <c r="H16" s="40">
        <v>70</v>
      </c>
      <c r="I16" s="40">
        <v>700</v>
      </c>
      <c r="J16" s="40">
        <v>700</v>
      </c>
      <c r="K16" s="40">
        <v>50</v>
      </c>
      <c r="L16" s="40">
        <v>50</v>
      </c>
      <c r="M16" s="58">
        <v>1210</v>
      </c>
      <c r="N16" s="47"/>
      <c r="P16" s="30"/>
    </row>
    <row r="17" spans="1:16" x14ac:dyDescent="0.2">
      <c r="A17" s="45"/>
      <c r="B17" s="59" t="s">
        <v>71</v>
      </c>
      <c r="C17" s="60">
        <v>1140</v>
      </c>
      <c r="D17" s="60">
        <v>1140</v>
      </c>
      <c r="E17" s="60"/>
      <c r="F17" s="60"/>
      <c r="G17" s="60">
        <v>30</v>
      </c>
      <c r="H17" s="60">
        <v>30</v>
      </c>
      <c r="I17" s="60"/>
      <c r="J17" s="60"/>
      <c r="K17" s="60"/>
      <c r="L17" s="60"/>
      <c r="M17" s="61">
        <v>1170</v>
      </c>
      <c r="N17" s="47"/>
      <c r="P17" s="30"/>
    </row>
    <row r="18" spans="1:16" x14ac:dyDescent="0.2">
      <c r="A18" s="45"/>
      <c r="B18" s="59" t="s">
        <v>122</v>
      </c>
      <c r="C18" s="60">
        <v>1440</v>
      </c>
      <c r="D18" s="60">
        <v>1440</v>
      </c>
      <c r="E18" s="60">
        <v>90</v>
      </c>
      <c r="F18" s="60">
        <v>90</v>
      </c>
      <c r="G18" s="60">
        <v>100</v>
      </c>
      <c r="H18" s="60">
        <v>100</v>
      </c>
      <c r="I18" s="60">
        <v>700</v>
      </c>
      <c r="J18" s="60">
        <v>700</v>
      </c>
      <c r="K18" s="60">
        <v>50</v>
      </c>
      <c r="L18" s="60">
        <v>50</v>
      </c>
      <c r="M18" s="61">
        <v>2380</v>
      </c>
      <c r="N18" s="47"/>
      <c r="O18" s="30"/>
      <c r="P18" s="30"/>
    </row>
    <row r="19" spans="1:16" x14ac:dyDescent="0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30"/>
      <c r="P19" s="30"/>
    </row>
    <row r="20" spans="1:1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O20" s="30"/>
      <c r="P20" s="30"/>
    </row>
    <row r="21" spans="1:1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30"/>
      <c r="P21" s="30"/>
    </row>
    <row r="22" spans="1:16" x14ac:dyDescent="0.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30"/>
      <c r="P22" s="30"/>
    </row>
    <row r="23" spans="1:16" x14ac:dyDescent="0.2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30"/>
      <c r="P23" s="30"/>
    </row>
    <row r="24" spans="1:16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30"/>
      <c r="P24" s="30"/>
    </row>
    <row r="25" spans="1:16" x14ac:dyDescent="0.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30"/>
      <c r="P25" s="30"/>
    </row>
    <row r="26" spans="1:16" x14ac:dyDescent="0.2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30"/>
      <c r="P26" s="30"/>
    </row>
    <row r="27" spans="1:16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30"/>
      <c r="P27" s="30"/>
    </row>
    <row r="28" spans="1:16" x14ac:dyDescent="0.2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30"/>
      <c r="P28" s="30"/>
    </row>
    <row r="29" spans="1:16" x14ac:dyDescent="0.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30"/>
      <c r="P29" s="30"/>
    </row>
    <row r="30" spans="1:16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30"/>
      <c r="P30" s="30"/>
    </row>
    <row r="31" spans="1:16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30"/>
      <c r="P31" s="30"/>
    </row>
    <row r="32" spans="1:16" x14ac:dyDescent="0.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30"/>
      <c r="P32" s="30"/>
    </row>
    <row r="33" spans="1:16" x14ac:dyDescent="0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30"/>
      <c r="P33" s="30"/>
    </row>
    <row r="34" spans="1:16" x14ac:dyDescent="0.2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30"/>
      <c r="P34" s="30"/>
    </row>
    <row r="35" spans="1:16" x14ac:dyDescent="0.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30"/>
      <c r="P35" s="30"/>
    </row>
    <row r="36" spans="1:16" x14ac:dyDescent="0.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30"/>
      <c r="P36" s="30"/>
    </row>
    <row r="37" spans="1:16" x14ac:dyDescent="0.2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30"/>
      <c r="P37" s="30"/>
    </row>
    <row r="38" spans="1:16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30"/>
      <c r="P38" s="30"/>
    </row>
    <row r="39" spans="1:16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30"/>
      <c r="P39" s="30"/>
    </row>
    <row r="40" spans="1:16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30"/>
      <c r="P40" s="30"/>
    </row>
    <row r="41" spans="1:16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30"/>
      <c r="P41" s="30"/>
    </row>
    <row r="42" spans="1:16" x14ac:dyDescent="0.2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30"/>
      <c r="P42" s="30"/>
    </row>
    <row r="43" spans="1:16" x14ac:dyDescent="0.2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30"/>
      <c r="P43" s="30"/>
    </row>
    <row r="44" spans="1:16" x14ac:dyDescent="0.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30"/>
      <c r="P44" s="30"/>
    </row>
    <row r="45" spans="1:16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30"/>
      <c r="P45" s="30"/>
    </row>
    <row r="46" spans="1:16" x14ac:dyDescent="0.2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30"/>
      <c r="P46" s="30"/>
    </row>
    <row r="47" spans="1:16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30"/>
      <c r="P47" s="30"/>
    </row>
    <row r="48" spans="1:16" x14ac:dyDescent="0.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30"/>
      <c r="P48" s="30"/>
    </row>
    <row r="49" spans="1:16" x14ac:dyDescent="0.2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30"/>
      <c r="P49" s="30"/>
    </row>
    <row r="50" spans="1:16" x14ac:dyDescent="0.2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30"/>
      <c r="P50" s="30"/>
    </row>
    <row r="51" spans="1:16" x14ac:dyDescent="0.2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30"/>
      <c r="P51" s="30"/>
    </row>
    <row r="52" spans="1:16" x14ac:dyDescent="0.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30"/>
      <c r="P52" s="30"/>
    </row>
    <row r="53" spans="1:16" x14ac:dyDescent="0.2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30"/>
      <c r="P53" s="30"/>
    </row>
    <row r="54" spans="1:16" x14ac:dyDescent="0.2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30"/>
      <c r="P54" s="30"/>
    </row>
    <row r="55" spans="1:16" x14ac:dyDescent="0.2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30"/>
      <c r="P55" s="30"/>
    </row>
    <row r="56" spans="1:16" x14ac:dyDescent="0.2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30"/>
      <c r="P56" s="30"/>
    </row>
    <row r="57" spans="1:16" x14ac:dyDescent="0.2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30"/>
      <c r="P57" s="30"/>
    </row>
    <row r="58" spans="1:16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30"/>
      <c r="P58" s="30"/>
    </row>
    <row r="59" spans="1:16" x14ac:dyDescent="0.2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30"/>
      <c r="P59" s="30"/>
    </row>
    <row r="60" spans="1:16" x14ac:dyDescent="0.2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30"/>
      <c r="P60" s="30"/>
    </row>
    <row r="61" spans="1:16" x14ac:dyDescent="0.2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30"/>
      <c r="P61" s="30"/>
    </row>
    <row r="62" spans="1:16" x14ac:dyDescent="0.2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30"/>
      <c r="P62" s="30"/>
    </row>
    <row r="63" spans="1:16" x14ac:dyDescent="0.2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30"/>
      <c r="P63" s="30"/>
    </row>
    <row r="64" spans="1:16" x14ac:dyDescent="0.2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30"/>
      <c r="P64" s="30"/>
    </row>
    <row r="65" spans="1:16" x14ac:dyDescent="0.2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30"/>
      <c r="P65" s="30"/>
    </row>
    <row r="66" spans="1:16" x14ac:dyDescent="0.2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30"/>
      <c r="P66" s="30"/>
    </row>
    <row r="67" spans="1:16" x14ac:dyDescent="0.2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30"/>
      <c r="P67" s="30"/>
    </row>
    <row r="68" spans="1:16" x14ac:dyDescent="0.2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30"/>
      <c r="P68" s="30"/>
    </row>
    <row r="69" spans="1:16" x14ac:dyDescent="0.2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30"/>
      <c r="P69" s="30"/>
    </row>
    <row r="70" spans="1:16" x14ac:dyDescent="0.2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30"/>
      <c r="P70" s="30"/>
    </row>
    <row r="71" spans="1:16" x14ac:dyDescent="0.2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  <c r="O71" s="30"/>
      <c r="P71" s="30"/>
    </row>
    <row r="72" spans="1:16" x14ac:dyDescent="0.2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  <c r="O72" s="80"/>
      <c r="P72" s="80"/>
    </row>
    <row r="73" spans="1:16" x14ac:dyDescent="0.2">
      <c r="A73" s="48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50"/>
    </row>
  </sheetData>
  <mergeCells count="4">
    <mergeCell ref="E2:J2"/>
    <mergeCell ref="D4:E4"/>
    <mergeCell ref="J4:K4"/>
    <mergeCell ref="B12:M12"/>
  </mergeCell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8BDD-A913-F840-8EF4-109522ACDFE8}">
  <dimension ref="A1:Q73"/>
  <sheetViews>
    <sheetView showGridLines="0" topLeftCell="A22" zoomScale="69" zoomScaleNormal="59" workbookViewId="0">
      <selection activeCell="O24" sqref="O24"/>
    </sheetView>
  </sheetViews>
  <sheetFormatPr baseColWidth="10" defaultRowHeight="16" x14ac:dyDescent="0.2"/>
  <cols>
    <col min="1" max="1" width="10.83203125" customWidth="1"/>
    <col min="2" max="2" width="27.5" bestFit="1" customWidth="1"/>
    <col min="3" max="3" width="16.33203125" bestFit="1" customWidth="1"/>
    <col min="4" max="4" width="14" bestFit="1" customWidth="1"/>
    <col min="5" max="5" width="17.33203125" bestFit="1" customWidth="1"/>
    <col min="6" max="6" width="7.83203125" bestFit="1" customWidth="1"/>
    <col min="7" max="7" width="9.6640625" bestFit="1" customWidth="1"/>
    <col min="8" max="8" width="12.33203125" bestFit="1" customWidth="1"/>
    <col min="9" max="9" width="12.6640625" bestFit="1" customWidth="1"/>
    <col min="10" max="10" width="15.33203125" bestFit="1" customWidth="1"/>
    <col min="11" max="11" width="30.33203125" bestFit="1" customWidth="1"/>
    <col min="12" max="12" width="10.83203125" bestFit="1" customWidth="1"/>
    <col min="13" max="13" width="10.5" bestFit="1" customWidth="1"/>
    <col min="14" max="14" width="10.83203125" bestFit="1" customWidth="1"/>
    <col min="15" max="15" width="10.5" bestFit="1" customWidth="1"/>
    <col min="16" max="19" width="10.83203125" customWidth="1"/>
  </cols>
  <sheetData>
    <row r="1" spans="1:17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30"/>
      <c r="P1" s="30"/>
      <c r="Q1" s="27"/>
    </row>
    <row r="2" spans="1:17" ht="32" x14ac:dyDescent="0.4">
      <c r="A2" s="45"/>
      <c r="B2" s="46"/>
      <c r="C2" s="46"/>
      <c r="D2" s="46"/>
      <c r="E2" s="70" t="s">
        <v>144</v>
      </c>
      <c r="F2" s="41"/>
      <c r="G2" s="41"/>
      <c r="H2" s="41"/>
      <c r="I2" s="41"/>
      <c r="J2" s="71"/>
      <c r="K2" s="46"/>
      <c r="L2" s="46"/>
      <c r="M2" s="46"/>
      <c r="N2" s="47"/>
      <c r="O2" s="30"/>
      <c r="P2" s="30"/>
      <c r="Q2" s="27"/>
    </row>
    <row r="3" spans="1:17" ht="20" customHeight="1" x14ac:dyDescent="0.4">
      <c r="A3" s="45"/>
      <c r="B3" s="46"/>
      <c r="C3" s="46"/>
      <c r="D3" s="46"/>
      <c r="E3" s="46"/>
      <c r="F3" s="51"/>
      <c r="G3" s="51"/>
      <c r="H3" s="51"/>
      <c r="I3" s="51"/>
      <c r="J3" s="46"/>
      <c r="K3" s="46"/>
      <c r="L3" s="46"/>
      <c r="M3" s="46"/>
      <c r="N3" s="47"/>
      <c r="O3" s="30"/>
      <c r="P3" s="30"/>
      <c r="Q3" s="27"/>
    </row>
    <row r="4" spans="1:17" ht="24" x14ac:dyDescent="0.3">
      <c r="A4" s="45"/>
      <c r="B4" s="46"/>
      <c r="C4" s="46"/>
      <c r="D4" s="52" t="s">
        <v>73</v>
      </c>
      <c r="E4" s="53"/>
      <c r="F4" s="46"/>
      <c r="G4" s="46"/>
      <c r="H4" s="46"/>
      <c r="I4" s="46"/>
      <c r="J4" s="52" t="s">
        <v>131</v>
      </c>
      <c r="K4" s="53"/>
      <c r="L4" s="46"/>
      <c r="M4" s="46"/>
      <c r="N4" s="47"/>
      <c r="O4" s="30"/>
      <c r="P4" s="30"/>
    </row>
    <row r="5" spans="1:17" x14ac:dyDescent="0.2">
      <c r="A5" s="45"/>
      <c r="B5" s="46"/>
      <c r="C5" s="46"/>
      <c r="D5" s="55" t="s">
        <v>146</v>
      </c>
      <c r="E5" s="7" t="s">
        <v>124</v>
      </c>
      <c r="F5" s="46"/>
      <c r="G5" s="46"/>
      <c r="H5" s="46"/>
      <c r="I5" s="46"/>
      <c r="J5" s="55" t="s">
        <v>146</v>
      </c>
      <c r="K5" s="7" t="s">
        <v>125</v>
      </c>
      <c r="L5" s="46"/>
      <c r="M5" s="46"/>
      <c r="N5" s="47"/>
      <c r="O5" s="30"/>
      <c r="P5" s="30"/>
    </row>
    <row r="6" spans="1:17" x14ac:dyDescent="0.2">
      <c r="A6" s="45"/>
      <c r="B6" s="46"/>
      <c r="C6" s="46"/>
      <c r="D6" s="57" t="s">
        <v>72</v>
      </c>
      <c r="E6" s="66">
        <v>1989.8</v>
      </c>
      <c r="F6" s="46"/>
      <c r="G6" s="46"/>
      <c r="H6" s="46"/>
      <c r="I6" s="46"/>
      <c r="J6" s="57" t="s">
        <v>72</v>
      </c>
      <c r="K6" s="66">
        <v>5.4414079283095393</v>
      </c>
      <c r="L6" s="46"/>
      <c r="M6" s="46"/>
      <c r="N6" s="47"/>
      <c r="O6" s="30"/>
      <c r="P6" s="30"/>
    </row>
    <row r="7" spans="1:17" x14ac:dyDescent="0.2">
      <c r="A7" s="45"/>
      <c r="B7" s="46"/>
      <c r="C7" s="46"/>
      <c r="D7" s="57" t="s">
        <v>109</v>
      </c>
      <c r="E7" s="67">
        <v>206.5</v>
      </c>
      <c r="F7" s="46"/>
      <c r="G7" s="46"/>
      <c r="H7" s="46"/>
      <c r="I7" s="46"/>
      <c r="J7" s="57" t="s">
        <v>109</v>
      </c>
      <c r="K7" s="67">
        <v>0.51213399999999998</v>
      </c>
      <c r="L7" s="46"/>
      <c r="M7" s="46"/>
      <c r="N7" s="47"/>
      <c r="O7" s="30"/>
      <c r="P7" s="30"/>
    </row>
    <row r="8" spans="1:17" x14ac:dyDescent="0.2">
      <c r="A8" s="45"/>
      <c r="B8" s="46"/>
      <c r="C8" s="46"/>
      <c r="D8" s="57" t="s">
        <v>117</v>
      </c>
      <c r="E8" s="67">
        <v>84.000000000000014</v>
      </c>
      <c r="F8" s="46"/>
      <c r="G8" s="46"/>
      <c r="H8" s="46"/>
      <c r="I8" s="46"/>
      <c r="J8" s="57" t="s">
        <v>117</v>
      </c>
      <c r="K8" s="67">
        <v>0.162485768062926</v>
      </c>
      <c r="L8" s="46"/>
      <c r="M8" s="46"/>
      <c r="N8" s="47"/>
      <c r="O8" s="30"/>
      <c r="P8" s="30"/>
    </row>
    <row r="9" spans="1:17" x14ac:dyDescent="0.2">
      <c r="A9" s="45"/>
      <c r="B9" s="46"/>
      <c r="C9" s="46"/>
      <c r="D9" s="65" t="s">
        <v>122</v>
      </c>
      <c r="E9" s="76">
        <v>2280.3000000000002</v>
      </c>
      <c r="F9" s="46"/>
      <c r="G9" s="46"/>
      <c r="H9" s="46"/>
      <c r="I9" s="46"/>
      <c r="J9" s="65" t="s">
        <v>122</v>
      </c>
      <c r="K9" s="76">
        <v>6.1160276963724653</v>
      </c>
      <c r="L9" s="46"/>
      <c r="M9" s="46"/>
      <c r="N9" s="47"/>
      <c r="O9" s="30"/>
      <c r="P9" s="30"/>
    </row>
    <row r="10" spans="1:17" x14ac:dyDescent="0.2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30"/>
      <c r="P10" s="30"/>
    </row>
    <row r="11" spans="1:17" x14ac:dyDescent="0.2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P11" s="30"/>
    </row>
    <row r="12" spans="1:17" ht="24" x14ac:dyDescent="0.3">
      <c r="A12" s="45"/>
      <c r="B12" s="52" t="s">
        <v>132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3"/>
      <c r="N12" s="47"/>
      <c r="P12" s="30"/>
    </row>
    <row r="13" spans="1:17" x14ac:dyDescent="0.2">
      <c r="A13" s="45"/>
      <c r="B13" s="55" t="s">
        <v>126</v>
      </c>
      <c r="C13" s="56" t="s">
        <v>123</v>
      </c>
      <c r="D13" s="2"/>
      <c r="E13" s="2"/>
      <c r="F13" s="2"/>
      <c r="G13" s="2"/>
      <c r="H13" s="2"/>
      <c r="I13" s="2"/>
      <c r="J13" s="2"/>
      <c r="K13" s="2"/>
      <c r="L13" s="2"/>
      <c r="M13" s="3"/>
      <c r="N13" s="47"/>
      <c r="P13" s="30"/>
    </row>
    <row r="14" spans="1:17" x14ac:dyDescent="0.2">
      <c r="A14" s="45"/>
      <c r="B14" s="13"/>
      <c r="C14" s="27" t="s">
        <v>0</v>
      </c>
      <c r="D14" s="27" t="s">
        <v>127</v>
      </c>
      <c r="E14" s="27" t="s">
        <v>2</v>
      </c>
      <c r="F14" s="27" t="s">
        <v>128</v>
      </c>
      <c r="G14" s="27" t="s">
        <v>1</v>
      </c>
      <c r="H14" s="27" t="s">
        <v>129</v>
      </c>
      <c r="I14" s="27" t="s">
        <v>4</v>
      </c>
      <c r="J14" s="27" t="s">
        <v>136</v>
      </c>
      <c r="K14" s="27" t="s">
        <v>20</v>
      </c>
      <c r="L14" s="27" t="s">
        <v>137</v>
      </c>
      <c r="M14" s="28" t="s">
        <v>122</v>
      </c>
      <c r="N14" s="47"/>
      <c r="P14" s="30"/>
    </row>
    <row r="15" spans="1:17" x14ac:dyDescent="0.2">
      <c r="A15" s="45"/>
      <c r="B15" s="75" t="s">
        <v>146</v>
      </c>
      <c r="C15" s="5" t="s">
        <v>11</v>
      </c>
      <c r="D15" s="5"/>
      <c r="E15" s="5" t="s">
        <v>12</v>
      </c>
      <c r="F15" s="5"/>
      <c r="G15" s="5" t="s">
        <v>12</v>
      </c>
      <c r="H15" s="5"/>
      <c r="I15" s="5" t="s">
        <v>10</v>
      </c>
      <c r="J15" s="5"/>
      <c r="K15" s="5" t="s">
        <v>12</v>
      </c>
      <c r="L15" s="5"/>
      <c r="M15" s="6"/>
      <c r="N15" s="47"/>
      <c r="P15" s="30"/>
    </row>
    <row r="16" spans="1:17" x14ac:dyDescent="0.2">
      <c r="A16" s="45"/>
      <c r="B16" s="57" t="s">
        <v>72</v>
      </c>
      <c r="C16" s="40">
        <v>840</v>
      </c>
      <c r="D16" s="40">
        <v>840</v>
      </c>
      <c r="E16" s="40">
        <v>40</v>
      </c>
      <c r="F16" s="40">
        <v>40</v>
      </c>
      <c r="G16" s="40">
        <v>100</v>
      </c>
      <c r="H16" s="40">
        <v>100</v>
      </c>
      <c r="I16" s="40">
        <v>700</v>
      </c>
      <c r="J16" s="40">
        <v>700</v>
      </c>
      <c r="K16" s="40">
        <v>50</v>
      </c>
      <c r="L16" s="40">
        <v>50</v>
      </c>
      <c r="M16" s="58">
        <v>1730</v>
      </c>
      <c r="N16" s="47"/>
      <c r="P16" s="30"/>
    </row>
    <row r="17" spans="1:16" x14ac:dyDescent="0.2">
      <c r="A17" s="45"/>
      <c r="B17" s="57" t="s">
        <v>109</v>
      </c>
      <c r="C17" s="40"/>
      <c r="D17" s="40"/>
      <c r="E17" s="40">
        <v>50</v>
      </c>
      <c r="F17" s="40">
        <v>50</v>
      </c>
      <c r="G17" s="40"/>
      <c r="H17" s="40"/>
      <c r="I17" s="40"/>
      <c r="J17" s="40"/>
      <c r="K17" s="40"/>
      <c r="L17" s="40"/>
      <c r="M17" s="58">
        <v>50</v>
      </c>
      <c r="N17" s="47"/>
      <c r="P17" s="30"/>
    </row>
    <row r="18" spans="1:16" x14ac:dyDescent="0.2">
      <c r="A18" s="45"/>
      <c r="B18" s="57" t="s">
        <v>117</v>
      </c>
      <c r="C18" s="40">
        <v>600</v>
      </c>
      <c r="D18" s="40">
        <v>600</v>
      </c>
      <c r="E18" s="40"/>
      <c r="F18" s="40"/>
      <c r="G18" s="40"/>
      <c r="H18" s="40"/>
      <c r="I18" s="40"/>
      <c r="J18" s="40"/>
      <c r="K18" s="40"/>
      <c r="L18" s="40"/>
      <c r="M18" s="58">
        <v>600</v>
      </c>
      <c r="N18" s="47"/>
      <c r="P18" s="30"/>
    </row>
    <row r="19" spans="1:16" x14ac:dyDescent="0.2">
      <c r="A19" s="45"/>
      <c r="B19" s="77" t="s">
        <v>122</v>
      </c>
      <c r="C19" s="78">
        <v>1440</v>
      </c>
      <c r="D19" s="78">
        <v>1440</v>
      </c>
      <c r="E19" s="78">
        <v>90</v>
      </c>
      <c r="F19" s="78">
        <v>90</v>
      </c>
      <c r="G19" s="78">
        <v>100</v>
      </c>
      <c r="H19" s="78">
        <v>100</v>
      </c>
      <c r="I19" s="78">
        <v>700</v>
      </c>
      <c r="J19" s="78">
        <v>700</v>
      </c>
      <c r="K19" s="78">
        <v>50</v>
      </c>
      <c r="L19" s="78">
        <v>50</v>
      </c>
      <c r="M19" s="79">
        <v>2380</v>
      </c>
      <c r="N19" s="47"/>
      <c r="P19" s="30"/>
    </row>
    <row r="20" spans="1:1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P20" s="30"/>
    </row>
    <row r="21" spans="1:1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30"/>
      <c r="P21" s="30"/>
    </row>
    <row r="22" spans="1:16" x14ac:dyDescent="0.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30"/>
      <c r="P22" s="30"/>
    </row>
    <row r="23" spans="1:16" x14ac:dyDescent="0.2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30"/>
      <c r="P23" s="30"/>
    </row>
    <row r="24" spans="1:16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30"/>
      <c r="P24" s="30"/>
    </row>
    <row r="25" spans="1:16" x14ac:dyDescent="0.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30"/>
      <c r="P25" s="30"/>
    </row>
    <row r="26" spans="1:16" x14ac:dyDescent="0.2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30"/>
      <c r="P26" s="30"/>
    </row>
    <row r="27" spans="1:16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30"/>
      <c r="P27" s="30"/>
    </row>
    <row r="28" spans="1:16" x14ac:dyDescent="0.2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30"/>
      <c r="P28" s="30"/>
    </row>
    <row r="29" spans="1:16" x14ac:dyDescent="0.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30"/>
      <c r="P29" s="30"/>
    </row>
    <row r="30" spans="1:16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30"/>
      <c r="P30" s="30"/>
    </row>
    <row r="31" spans="1:16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30"/>
      <c r="P31" s="30"/>
    </row>
    <row r="32" spans="1:16" x14ac:dyDescent="0.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30"/>
      <c r="P32" s="30"/>
    </row>
    <row r="33" spans="1:16" x14ac:dyDescent="0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30"/>
      <c r="P33" s="30"/>
    </row>
    <row r="34" spans="1:16" x14ac:dyDescent="0.2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30"/>
      <c r="P34" s="30"/>
    </row>
    <row r="35" spans="1:16" x14ac:dyDescent="0.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30"/>
      <c r="P35" s="30"/>
    </row>
    <row r="36" spans="1:16" x14ac:dyDescent="0.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30"/>
      <c r="P36" s="30"/>
    </row>
    <row r="37" spans="1:16" x14ac:dyDescent="0.2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30"/>
      <c r="P37" s="30"/>
    </row>
    <row r="38" spans="1:16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30"/>
      <c r="P38" s="30"/>
    </row>
    <row r="39" spans="1:16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30"/>
      <c r="P39" s="30"/>
    </row>
    <row r="40" spans="1:16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30"/>
      <c r="P40" s="30"/>
    </row>
    <row r="41" spans="1:16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30"/>
      <c r="P41" s="30"/>
    </row>
    <row r="42" spans="1:16" x14ac:dyDescent="0.2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30"/>
      <c r="P42" s="30"/>
    </row>
    <row r="43" spans="1:16" x14ac:dyDescent="0.2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30"/>
      <c r="P43" s="30"/>
    </row>
    <row r="44" spans="1:16" x14ac:dyDescent="0.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30"/>
      <c r="P44" s="30"/>
    </row>
    <row r="45" spans="1:16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30"/>
      <c r="P45" s="30"/>
    </row>
    <row r="46" spans="1:16" x14ac:dyDescent="0.2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30"/>
      <c r="P46" s="30"/>
    </row>
    <row r="47" spans="1:16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30"/>
      <c r="P47" s="30"/>
    </row>
    <row r="48" spans="1:16" x14ac:dyDescent="0.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30"/>
      <c r="P48" s="30"/>
    </row>
    <row r="49" spans="1:16" x14ac:dyDescent="0.2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30"/>
      <c r="P49" s="30"/>
    </row>
    <row r="50" spans="1:16" x14ac:dyDescent="0.2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30"/>
      <c r="P50" s="30"/>
    </row>
    <row r="51" spans="1:16" x14ac:dyDescent="0.2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30"/>
      <c r="P51" s="30"/>
    </row>
    <row r="52" spans="1:16" x14ac:dyDescent="0.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30"/>
      <c r="P52" s="30"/>
    </row>
    <row r="53" spans="1:16" x14ac:dyDescent="0.2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30"/>
      <c r="P53" s="30"/>
    </row>
    <row r="54" spans="1:16" x14ac:dyDescent="0.2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30"/>
      <c r="P54" s="30"/>
    </row>
    <row r="55" spans="1:16" x14ac:dyDescent="0.2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30"/>
      <c r="P55" s="30"/>
    </row>
    <row r="56" spans="1:16" x14ac:dyDescent="0.2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30"/>
      <c r="P56" s="30"/>
    </row>
    <row r="57" spans="1:16" x14ac:dyDescent="0.2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30"/>
      <c r="P57" s="30"/>
    </row>
    <row r="58" spans="1:16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30"/>
      <c r="P58" s="30"/>
    </row>
    <row r="59" spans="1:16" x14ac:dyDescent="0.2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30"/>
      <c r="P59" s="30"/>
    </row>
    <row r="60" spans="1:16" x14ac:dyDescent="0.2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30"/>
      <c r="P60" s="30"/>
    </row>
    <row r="61" spans="1:16" x14ac:dyDescent="0.2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30"/>
      <c r="P61" s="30"/>
    </row>
    <row r="62" spans="1:16" x14ac:dyDescent="0.2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30"/>
      <c r="P62" s="30"/>
    </row>
    <row r="63" spans="1:16" x14ac:dyDescent="0.2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30"/>
      <c r="P63" s="30"/>
    </row>
    <row r="64" spans="1:16" x14ac:dyDescent="0.2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30"/>
      <c r="P64" s="30"/>
    </row>
    <row r="65" spans="1:16" x14ac:dyDescent="0.2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30"/>
      <c r="P65" s="30"/>
    </row>
    <row r="66" spans="1:16" x14ac:dyDescent="0.2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30"/>
      <c r="P66" s="30"/>
    </row>
    <row r="67" spans="1:16" x14ac:dyDescent="0.2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30"/>
      <c r="P67" s="30"/>
    </row>
    <row r="68" spans="1:16" x14ac:dyDescent="0.2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30"/>
      <c r="P68" s="30"/>
    </row>
    <row r="69" spans="1:16" x14ac:dyDescent="0.2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30"/>
      <c r="P69" s="30"/>
    </row>
    <row r="70" spans="1:16" x14ac:dyDescent="0.2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30"/>
      <c r="P70" s="30"/>
    </row>
    <row r="71" spans="1:16" x14ac:dyDescent="0.2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  <c r="O71" s="30"/>
      <c r="P71" s="30"/>
    </row>
    <row r="72" spans="1:16" x14ac:dyDescent="0.2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  <c r="O72" s="80"/>
      <c r="P72" s="80"/>
    </row>
    <row r="73" spans="1:16" x14ac:dyDescent="0.2">
      <c r="A73" s="48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50"/>
    </row>
  </sheetData>
  <mergeCells count="4">
    <mergeCell ref="E2:J2"/>
    <mergeCell ref="D4:E4"/>
    <mergeCell ref="J4:K4"/>
    <mergeCell ref="B12:M12"/>
  </mergeCells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4349-1B97-304B-ADA5-7424D8215EE9}">
  <dimension ref="A1:Q74"/>
  <sheetViews>
    <sheetView showGridLines="0" tabSelected="1" zoomScale="75" zoomScaleNormal="59" workbookViewId="0">
      <selection activeCell="R78" sqref="R78"/>
    </sheetView>
  </sheetViews>
  <sheetFormatPr baseColWidth="10" defaultRowHeight="16" x14ac:dyDescent="0.2"/>
  <cols>
    <col min="1" max="1" width="10.83203125" customWidth="1"/>
    <col min="2" max="2" width="25.6640625" bestFit="1" customWidth="1"/>
    <col min="3" max="3" width="17.5" bestFit="1" customWidth="1"/>
    <col min="4" max="4" width="20" bestFit="1" customWidth="1"/>
    <col min="5" max="5" width="7.6640625" bestFit="1" customWidth="1"/>
    <col min="6" max="6" width="8.1640625" bestFit="1" customWidth="1"/>
    <col min="7" max="7" width="10.1640625" bestFit="1" customWidth="1"/>
    <col min="8" max="8" width="13" bestFit="1" customWidth="1"/>
    <col min="9" max="9" width="12.6640625" bestFit="1" customWidth="1"/>
    <col min="10" max="10" width="31.5" bestFit="1" customWidth="1"/>
    <col min="11" max="11" width="8.33203125" bestFit="1" customWidth="1"/>
    <col min="12" max="12" width="11.33203125" bestFit="1" customWidth="1"/>
    <col min="13" max="13" width="11" bestFit="1" customWidth="1"/>
    <col min="14" max="14" width="11.33203125" bestFit="1" customWidth="1"/>
    <col min="15" max="15" width="11" bestFit="1" customWidth="1"/>
    <col min="16" max="19" width="10.83203125" customWidth="1"/>
  </cols>
  <sheetData>
    <row r="1" spans="1:17" x14ac:dyDescent="0.2">
      <c r="A1" s="42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30"/>
      <c r="P1" s="30"/>
      <c r="Q1" s="27"/>
    </row>
    <row r="2" spans="1:17" ht="32" x14ac:dyDescent="0.4">
      <c r="A2" s="45"/>
      <c r="B2" s="46"/>
      <c r="C2" s="46"/>
      <c r="D2" s="46"/>
      <c r="E2" s="70" t="s">
        <v>148</v>
      </c>
      <c r="F2" s="41"/>
      <c r="G2" s="41"/>
      <c r="H2" s="41"/>
      <c r="I2" s="41"/>
      <c r="J2" s="71"/>
      <c r="K2" s="46"/>
      <c r="L2" s="46"/>
      <c r="M2" s="46"/>
      <c r="N2" s="47"/>
      <c r="O2" s="30"/>
      <c r="P2" s="30"/>
      <c r="Q2" s="27"/>
    </row>
    <row r="3" spans="1:17" ht="32" x14ac:dyDescent="0.4">
      <c r="A3" s="45"/>
      <c r="B3" s="46"/>
      <c r="C3" s="46"/>
      <c r="D3" s="46"/>
      <c r="E3" s="51"/>
      <c r="F3" s="51"/>
      <c r="G3" s="51"/>
      <c r="H3" s="51"/>
      <c r="I3" s="51"/>
      <c r="J3" s="85"/>
      <c r="K3" s="46"/>
      <c r="L3" s="46"/>
      <c r="M3" s="46"/>
      <c r="N3" s="47"/>
      <c r="O3" s="30"/>
      <c r="P3" s="30"/>
      <c r="Q3" s="27"/>
    </row>
    <row r="4" spans="1:17" ht="20" customHeight="1" x14ac:dyDescent="0.4">
      <c r="A4" s="45"/>
      <c r="B4" s="46"/>
      <c r="C4" s="46"/>
      <c r="D4" s="82" t="s">
        <v>33</v>
      </c>
      <c r="E4" s="10" t="s">
        <v>147</v>
      </c>
      <c r="F4" s="51"/>
      <c r="G4" s="51"/>
      <c r="H4" s="51"/>
      <c r="I4" s="51"/>
      <c r="J4" s="82" t="s">
        <v>33</v>
      </c>
      <c r="K4" s="10" t="s">
        <v>147</v>
      </c>
      <c r="L4" s="46"/>
      <c r="M4" s="46"/>
      <c r="N4" s="47"/>
      <c r="O4" s="30"/>
      <c r="P4" s="30"/>
      <c r="Q4" s="27"/>
    </row>
    <row r="5" spans="1:17" ht="24" x14ac:dyDescent="0.3">
      <c r="A5" s="45"/>
      <c r="B5" s="46"/>
      <c r="C5" s="46"/>
      <c r="D5" s="86" t="s">
        <v>73</v>
      </c>
      <c r="E5" s="83"/>
      <c r="F5" s="46"/>
      <c r="G5" s="46"/>
      <c r="H5" s="46"/>
      <c r="I5" s="46"/>
      <c r="J5" s="84" t="s">
        <v>131</v>
      </c>
      <c r="K5" s="83"/>
      <c r="L5" s="46"/>
      <c r="M5" s="46"/>
      <c r="N5" s="47"/>
      <c r="O5" s="30"/>
      <c r="P5" s="30"/>
    </row>
    <row r="6" spans="1:17" x14ac:dyDescent="0.2">
      <c r="A6" s="45"/>
      <c r="B6" s="46"/>
      <c r="C6" s="46"/>
      <c r="D6" s="7" t="s">
        <v>124</v>
      </c>
      <c r="E6" s="46"/>
      <c r="F6" s="46"/>
      <c r="G6" s="46"/>
      <c r="H6" s="46"/>
      <c r="I6" s="46"/>
      <c r="J6" s="7" t="s">
        <v>125</v>
      </c>
      <c r="K6" s="46"/>
      <c r="L6" s="46"/>
      <c r="M6" s="46"/>
      <c r="N6" s="47"/>
      <c r="O6" s="30"/>
      <c r="P6" s="30"/>
    </row>
    <row r="7" spans="1:17" x14ac:dyDescent="0.2">
      <c r="A7" s="45"/>
      <c r="B7" s="46"/>
      <c r="C7" s="46"/>
      <c r="D7" s="76">
        <v>2280.3000000000002</v>
      </c>
      <c r="E7" s="46"/>
      <c r="F7" s="46"/>
      <c r="G7" s="46"/>
      <c r="H7" s="46"/>
      <c r="I7" s="46"/>
      <c r="J7" s="76">
        <v>6.1160276963724653</v>
      </c>
      <c r="K7" s="46"/>
      <c r="L7" s="46"/>
      <c r="M7" s="46"/>
      <c r="N7" s="47"/>
      <c r="O7" s="30"/>
      <c r="P7" s="30"/>
    </row>
    <row r="8" spans="1:17" x14ac:dyDescent="0.2">
      <c r="A8" s="45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7"/>
      <c r="O8" s="30"/>
      <c r="P8" s="30"/>
    </row>
    <row r="9" spans="1:17" x14ac:dyDescent="0.2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30"/>
      <c r="P9" s="30"/>
    </row>
    <row r="10" spans="1:17" x14ac:dyDescent="0.2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O10" s="30"/>
      <c r="P10" s="30"/>
    </row>
    <row r="11" spans="1:17" x14ac:dyDescent="0.2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7"/>
      <c r="O11" s="30"/>
      <c r="P11" s="30"/>
    </row>
    <row r="12" spans="1:17" x14ac:dyDescent="0.2">
      <c r="A12" s="45"/>
      <c r="B12" s="82" t="s">
        <v>33</v>
      </c>
      <c r="C12" s="10" t="s">
        <v>147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7"/>
      <c r="P12" s="30"/>
    </row>
    <row r="13" spans="1:17" ht="24" x14ac:dyDescent="0.3">
      <c r="A13" s="45"/>
      <c r="B13" s="52" t="s">
        <v>132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3"/>
      <c r="N13" s="47"/>
      <c r="P13" s="30"/>
    </row>
    <row r="14" spans="1:17" x14ac:dyDescent="0.2">
      <c r="A14" s="45"/>
      <c r="B14" s="11"/>
      <c r="C14" s="62" t="s">
        <v>123</v>
      </c>
      <c r="D14" s="7"/>
      <c r="E14" s="8"/>
      <c r="F14" s="9"/>
      <c r="G14" s="9"/>
      <c r="H14" s="9"/>
      <c r="I14" s="9"/>
      <c r="J14" s="9"/>
      <c r="K14" s="9"/>
      <c r="L14" s="9"/>
      <c r="M14" s="10"/>
      <c r="N14" s="47"/>
      <c r="P14" s="30"/>
    </row>
    <row r="15" spans="1:17" x14ac:dyDescent="0.2">
      <c r="A15" s="45"/>
      <c r="B15" s="12"/>
      <c r="C15" s="7" t="s">
        <v>0</v>
      </c>
      <c r="D15" s="11" t="s">
        <v>127</v>
      </c>
      <c r="E15" s="7" t="s">
        <v>2</v>
      </c>
      <c r="F15" s="11" t="s">
        <v>128</v>
      </c>
      <c r="G15" s="7" t="s">
        <v>1</v>
      </c>
      <c r="H15" s="11" t="s">
        <v>129</v>
      </c>
      <c r="I15" s="7" t="s">
        <v>4</v>
      </c>
      <c r="J15" s="11" t="s">
        <v>136</v>
      </c>
      <c r="K15" s="7" t="s">
        <v>20</v>
      </c>
      <c r="L15" s="11" t="s">
        <v>137</v>
      </c>
      <c r="M15" s="11" t="s">
        <v>122</v>
      </c>
      <c r="N15" s="47"/>
      <c r="P15" s="30"/>
    </row>
    <row r="16" spans="1:17" x14ac:dyDescent="0.2">
      <c r="A16" s="45"/>
      <c r="B16" s="7"/>
      <c r="C16" s="7" t="s">
        <v>11</v>
      </c>
      <c r="D16" s="12"/>
      <c r="E16" s="7" t="s">
        <v>12</v>
      </c>
      <c r="F16" s="12"/>
      <c r="G16" s="7" t="s">
        <v>12</v>
      </c>
      <c r="H16" s="12"/>
      <c r="I16" s="7" t="s">
        <v>10</v>
      </c>
      <c r="J16" s="12"/>
      <c r="K16" s="7" t="s">
        <v>12</v>
      </c>
      <c r="L16" s="12"/>
      <c r="M16" s="12"/>
      <c r="N16" s="47"/>
      <c r="P16" s="30"/>
    </row>
    <row r="17" spans="1:16" x14ac:dyDescent="0.2">
      <c r="A17" s="45"/>
      <c r="B17" s="7" t="s">
        <v>126</v>
      </c>
      <c r="C17" s="81">
        <v>1440</v>
      </c>
      <c r="D17" s="78">
        <v>1440</v>
      </c>
      <c r="E17" s="78">
        <v>90</v>
      </c>
      <c r="F17" s="78">
        <v>90</v>
      </c>
      <c r="G17" s="78">
        <v>100</v>
      </c>
      <c r="H17" s="78">
        <v>100</v>
      </c>
      <c r="I17" s="78">
        <v>700</v>
      </c>
      <c r="J17" s="78">
        <v>700</v>
      </c>
      <c r="K17" s="78">
        <v>50</v>
      </c>
      <c r="L17" s="78">
        <v>50</v>
      </c>
      <c r="M17" s="79">
        <v>2380</v>
      </c>
      <c r="N17" s="47"/>
      <c r="P17" s="30"/>
    </row>
    <row r="18" spans="1:16" x14ac:dyDescent="0.2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7"/>
      <c r="P18" s="30"/>
    </row>
    <row r="19" spans="1:16" x14ac:dyDescent="0.2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P19" s="30"/>
    </row>
    <row r="20" spans="1:1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7"/>
      <c r="P20" s="30"/>
    </row>
    <row r="21" spans="1:1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P21" s="30"/>
    </row>
    <row r="22" spans="1:16" x14ac:dyDescent="0.2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7"/>
      <c r="O22" s="30"/>
      <c r="P22" s="30"/>
    </row>
    <row r="23" spans="1:16" x14ac:dyDescent="0.2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7"/>
      <c r="O23" s="30"/>
      <c r="P23" s="30"/>
    </row>
    <row r="24" spans="1:16" x14ac:dyDescent="0.2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  <c r="O24" s="30"/>
      <c r="P24" s="30"/>
    </row>
    <row r="25" spans="1:16" x14ac:dyDescent="0.2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7"/>
      <c r="O25" s="30"/>
      <c r="P25" s="30"/>
    </row>
    <row r="26" spans="1:16" x14ac:dyDescent="0.2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7"/>
      <c r="O26" s="30"/>
      <c r="P26" s="30"/>
    </row>
    <row r="27" spans="1:16" x14ac:dyDescent="0.2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7"/>
      <c r="O27" s="30"/>
      <c r="P27" s="30"/>
    </row>
    <row r="28" spans="1:16" x14ac:dyDescent="0.2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7"/>
      <c r="O28" s="30"/>
      <c r="P28" s="30"/>
    </row>
    <row r="29" spans="1:16" x14ac:dyDescent="0.2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30"/>
      <c r="P29" s="30"/>
    </row>
    <row r="30" spans="1:16" x14ac:dyDescent="0.2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30"/>
      <c r="P30" s="30"/>
    </row>
    <row r="31" spans="1:16" x14ac:dyDescent="0.2">
      <c r="A31" s="45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30"/>
      <c r="P31" s="30"/>
    </row>
    <row r="32" spans="1:16" x14ac:dyDescent="0.2">
      <c r="A32" s="45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7"/>
      <c r="O32" s="30"/>
      <c r="P32" s="30"/>
    </row>
    <row r="33" spans="1:16" x14ac:dyDescent="0.2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7"/>
      <c r="O33" s="30"/>
      <c r="P33" s="30"/>
    </row>
    <row r="34" spans="1:16" x14ac:dyDescent="0.2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7"/>
      <c r="O34" s="30"/>
      <c r="P34" s="30"/>
    </row>
    <row r="35" spans="1:16" x14ac:dyDescent="0.2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7"/>
      <c r="O35" s="30"/>
      <c r="P35" s="30"/>
    </row>
    <row r="36" spans="1:16" x14ac:dyDescent="0.2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7"/>
      <c r="O36" s="30"/>
      <c r="P36" s="30"/>
    </row>
    <row r="37" spans="1:16" x14ac:dyDescent="0.2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7"/>
      <c r="O37" s="30"/>
      <c r="P37" s="30"/>
    </row>
    <row r="38" spans="1:16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7"/>
      <c r="O38" s="30"/>
      <c r="P38" s="30"/>
    </row>
    <row r="39" spans="1:16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30"/>
      <c r="P39" s="30"/>
    </row>
    <row r="40" spans="1:16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7"/>
      <c r="O40" s="30"/>
      <c r="P40" s="30"/>
    </row>
    <row r="41" spans="1:16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30"/>
      <c r="P41" s="30"/>
    </row>
    <row r="42" spans="1:16" x14ac:dyDescent="0.2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7"/>
      <c r="O42" s="30"/>
      <c r="P42" s="30"/>
    </row>
    <row r="43" spans="1:16" x14ac:dyDescent="0.2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7"/>
      <c r="O43" s="30"/>
      <c r="P43" s="30"/>
    </row>
    <row r="44" spans="1:16" x14ac:dyDescent="0.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7"/>
      <c r="O44" s="30"/>
      <c r="P44" s="30"/>
    </row>
    <row r="45" spans="1:16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/>
      <c r="O45" s="30"/>
      <c r="P45" s="30"/>
    </row>
    <row r="46" spans="1:16" x14ac:dyDescent="0.2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7"/>
      <c r="O46" s="30"/>
      <c r="P46" s="30"/>
    </row>
    <row r="47" spans="1:16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7"/>
      <c r="O47" s="30"/>
      <c r="P47" s="30"/>
    </row>
    <row r="48" spans="1:16" x14ac:dyDescent="0.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7"/>
      <c r="O48" s="30"/>
      <c r="P48" s="30"/>
    </row>
    <row r="49" spans="1:16" x14ac:dyDescent="0.2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7"/>
      <c r="O49" s="30"/>
      <c r="P49" s="30"/>
    </row>
    <row r="50" spans="1:16" x14ac:dyDescent="0.2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7"/>
      <c r="O50" s="30"/>
      <c r="P50" s="30"/>
    </row>
    <row r="51" spans="1:16" x14ac:dyDescent="0.2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30"/>
      <c r="P51" s="30"/>
    </row>
    <row r="52" spans="1:16" x14ac:dyDescent="0.2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7"/>
      <c r="O52" s="30"/>
      <c r="P52" s="30"/>
    </row>
    <row r="53" spans="1:16" x14ac:dyDescent="0.2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7"/>
      <c r="O53" s="30"/>
      <c r="P53" s="30"/>
    </row>
    <row r="54" spans="1:16" x14ac:dyDescent="0.2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7"/>
      <c r="O54" s="30"/>
      <c r="P54" s="30"/>
    </row>
    <row r="55" spans="1:16" x14ac:dyDescent="0.2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7"/>
      <c r="O55" s="30"/>
      <c r="P55" s="30"/>
    </row>
    <row r="56" spans="1:16" x14ac:dyDescent="0.2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7"/>
      <c r="O56" s="30"/>
      <c r="P56" s="30"/>
    </row>
    <row r="57" spans="1:16" x14ac:dyDescent="0.2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7"/>
      <c r="O57" s="30"/>
      <c r="P57" s="30"/>
    </row>
    <row r="58" spans="1:16" x14ac:dyDescent="0.2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7"/>
      <c r="O58" s="30"/>
      <c r="P58" s="30"/>
    </row>
    <row r="59" spans="1:16" x14ac:dyDescent="0.2">
      <c r="A59" s="45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7"/>
      <c r="O59" s="30"/>
      <c r="P59" s="30"/>
    </row>
    <row r="60" spans="1:16" x14ac:dyDescent="0.2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30"/>
      <c r="P60" s="30"/>
    </row>
    <row r="61" spans="1:16" x14ac:dyDescent="0.2">
      <c r="A61" s="45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30"/>
      <c r="P61" s="30"/>
    </row>
    <row r="62" spans="1:16" x14ac:dyDescent="0.2">
      <c r="A62" s="45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30"/>
      <c r="P62" s="30"/>
    </row>
    <row r="63" spans="1:16" x14ac:dyDescent="0.2">
      <c r="A63" s="45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30"/>
      <c r="P63" s="30"/>
    </row>
    <row r="64" spans="1:16" x14ac:dyDescent="0.2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30"/>
      <c r="P64" s="30"/>
    </row>
    <row r="65" spans="1:16" x14ac:dyDescent="0.2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30"/>
      <c r="P65" s="30"/>
    </row>
    <row r="66" spans="1:16" x14ac:dyDescent="0.2">
      <c r="A66" s="45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30"/>
      <c r="P66" s="30"/>
    </row>
    <row r="67" spans="1:16" x14ac:dyDescent="0.2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30"/>
      <c r="P67" s="30"/>
    </row>
    <row r="68" spans="1:16" x14ac:dyDescent="0.2">
      <c r="A68" s="45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7"/>
      <c r="O68" s="30"/>
      <c r="P68" s="30"/>
    </row>
    <row r="69" spans="1:16" x14ac:dyDescent="0.2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7"/>
      <c r="O69" s="30"/>
      <c r="P69" s="30"/>
    </row>
    <row r="70" spans="1:16" x14ac:dyDescent="0.2">
      <c r="A70" s="45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7"/>
      <c r="O70" s="30"/>
      <c r="P70" s="30"/>
    </row>
    <row r="71" spans="1:16" x14ac:dyDescent="0.2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7"/>
      <c r="O71" s="30"/>
      <c r="P71" s="30"/>
    </row>
    <row r="72" spans="1:16" x14ac:dyDescent="0.2">
      <c r="A72" s="45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7"/>
      <c r="O72" s="30"/>
      <c r="P72" s="30"/>
    </row>
    <row r="73" spans="1:16" x14ac:dyDescent="0.2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  <c r="O73" s="80"/>
      <c r="P73" s="80"/>
    </row>
    <row r="74" spans="1:16" x14ac:dyDescent="0.2">
      <c r="A74" s="48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50"/>
    </row>
  </sheetData>
  <mergeCells count="2">
    <mergeCell ref="E2:J2"/>
    <mergeCell ref="B13:M13"/>
  </mergeCells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C436-7BB5-7048-98E5-7234A10D6BB5}">
  <dimension ref="B2:E22"/>
  <sheetViews>
    <sheetView workbookViewId="0">
      <selection activeCell="B8" sqref="B8"/>
    </sheetView>
  </sheetViews>
  <sheetFormatPr baseColWidth="10" defaultRowHeight="16" x14ac:dyDescent="0.2"/>
  <sheetData>
    <row r="2" spans="2:5" x14ac:dyDescent="0.2">
      <c r="B2" t="s">
        <v>96</v>
      </c>
      <c r="E2" t="s">
        <v>118</v>
      </c>
    </row>
    <row r="4" spans="2:5" x14ac:dyDescent="0.2">
      <c r="B4" t="s">
        <v>97</v>
      </c>
      <c r="E4" t="s">
        <v>119</v>
      </c>
    </row>
    <row r="6" spans="2:5" x14ac:dyDescent="0.2">
      <c r="B6" t="s">
        <v>98</v>
      </c>
      <c r="E6" t="s">
        <v>119</v>
      </c>
    </row>
    <row r="8" spans="2:5" x14ac:dyDescent="0.2">
      <c r="B8" t="s">
        <v>34</v>
      </c>
    </row>
    <row r="22" spans="2:2" x14ac:dyDescent="0.2">
      <c r="B22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F370-C215-DC49-9FC2-51CD6159A815}">
  <dimension ref="B1:I35"/>
  <sheetViews>
    <sheetView showGridLines="0" workbookViewId="0">
      <selection activeCell="C35" sqref="C35"/>
    </sheetView>
  </sheetViews>
  <sheetFormatPr baseColWidth="10" defaultColWidth="12.83203125" defaultRowHeight="16" x14ac:dyDescent="0.2"/>
  <cols>
    <col min="2" max="2" width="19.1640625" bestFit="1" customWidth="1"/>
    <col min="3" max="5" width="12.1640625" bestFit="1" customWidth="1"/>
    <col min="6" max="6" width="36.5" customWidth="1"/>
  </cols>
  <sheetData>
    <row r="1" spans="2:9" x14ac:dyDescent="0.2">
      <c r="I1" t="s">
        <v>69</v>
      </c>
    </row>
    <row r="2" spans="2:9" x14ac:dyDescent="0.2">
      <c r="B2" s="21" t="s">
        <v>43</v>
      </c>
      <c r="C2" s="21" t="s">
        <v>44</v>
      </c>
      <c r="D2" s="21" t="s">
        <v>45</v>
      </c>
      <c r="E2" s="21" t="s">
        <v>46</v>
      </c>
      <c r="F2" s="21" t="s">
        <v>47</v>
      </c>
      <c r="G2" s="21" t="s">
        <v>13</v>
      </c>
      <c r="I2" s="24" t="s">
        <v>70</v>
      </c>
    </row>
    <row r="3" spans="2:9" x14ac:dyDescent="0.2">
      <c r="B3" t="s">
        <v>0</v>
      </c>
      <c r="C3">
        <f xml:space="preserve"> 594.7 * lb_to_MT / MWh_to_kWh</f>
        <v>2.69751382439E-4</v>
      </c>
      <c r="D3">
        <f xml:space="preserve"> 0.036 * lb_to_MT / MWh_to_kWh</f>
        <v>1.6329325319999999E-8</v>
      </c>
      <c r="E3">
        <f xml:space="preserve"> 0.005 *lb_to_MT / MWh_to_kWh</f>
        <v>2.2679618499999999E-9</v>
      </c>
      <c r="F3" s="22" cm="1">
        <f t="array" ref="F3">(C3*CO2_GWP_Value)+(D3*CH4_GWP_Value)+(E3*N2O_GWP_Value)</f>
        <v>2.7080961343821001E-4</v>
      </c>
      <c r="G3" t="s">
        <v>65</v>
      </c>
    </row>
    <row r="4" spans="2:9" x14ac:dyDescent="0.2">
      <c r="B4" t="s">
        <v>1</v>
      </c>
      <c r="C4">
        <f xml:space="preserve"> 5.72 * kg_to_MT</f>
        <v>5.7200000000000003E-3</v>
      </c>
      <c r="D4">
        <f xml:space="preserve"> 0.27 * g_to_MT</f>
        <v>2.7000000000000001E-7</v>
      </c>
      <c r="E4">
        <f xml:space="preserve"> 0.05 * g_to_MT</f>
        <v>4.9999999999999998E-8</v>
      </c>
      <c r="F4" s="22" cm="1">
        <f t="array" ref="F4">(C4*CO2_GWP_Value)+(D4*CH4_GWP_Value)+(E4*N2O_GWP_Value)</f>
        <v>5.7408100000000007E-3</v>
      </c>
      <c r="G4" t="s">
        <v>66</v>
      </c>
    </row>
    <row r="5" spans="2:9" x14ac:dyDescent="0.2">
      <c r="B5" t="s">
        <v>2</v>
      </c>
      <c r="C5">
        <f xml:space="preserve"> 10.21 * kg_to_MT</f>
        <v>1.021E-2</v>
      </c>
      <c r="D5">
        <f xml:space="preserve"> 0.41 * g_to_MT</f>
        <v>4.0999999999999994E-7</v>
      </c>
      <c r="E5">
        <f xml:space="preserve"> 0.08 * g_to_MT</f>
        <v>8.0000000000000002E-8</v>
      </c>
      <c r="F5" s="22" cm="1">
        <f t="array" ref="F5">(C5*CO2_GWP_Value)+(D5*CH4_GWP_Value)+(E5*N2O_GWP_Value)</f>
        <v>1.0242680000000001E-2</v>
      </c>
      <c r="G5" t="s">
        <v>66</v>
      </c>
    </row>
    <row r="6" spans="2:9" x14ac:dyDescent="0.2">
      <c r="B6" t="s">
        <v>4</v>
      </c>
      <c r="C6">
        <f xml:space="preserve"> 0.05444 * kg_to_MT / scf_to_therm</f>
        <v>5.3060428849902534E-3</v>
      </c>
      <c r="D6">
        <f xml:space="preserve"> 0.00103 * g_to_MT / scf_to_therm</f>
        <v>1.0038986354775828E-7</v>
      </c>
      <c r="E6">
        <f xml:space="preserve"> 0.0001 * g_to_MT  /  scf_to_therm</f>
        <v>9.7465886939571155E-9</v>
      </c>
      <c r="F6" s="22" cm="1">
        <f t="array" ref="F6">(C6*CO2_GWP_Value)+(D6*CH4_GWP_Value)+(E6*N2O_GWP_Value)</f>
        <v>5.3114366471734894E-3</v>
      </c>
      <c r="G6" t="s">
        <v>67</v>
      </c>
    </row>
    <row r="7" spans="2:9" x14ac:dyDescent="0.2">
      <c r="B7" t="s">
        <v>20</v>
      </c>
      <c r="C7">
        <f xml:space="preserve"> 10.21 * kg_to_MT</f>
        <v>1.021E-2</v>
      </c>
      <c r="D7">
        <f xml:space="preserve"> 0.41 * g_to_MT</f>
        <v>4.0999999999999994E-7</v>
      </c>
      <c r="E7">
        <f xml:space="preserve"> 0.08 * g_to_MT</f>
        <v>8.0000000000000002E-8</v>
      </c>
      <c r="F7" s="22" cm="1">
        <f t="array" ref="F7">(C7*CO2_GWP_Value)+(D7*CH4_GWP_Value)+(E7*N2O_GWP_Value)</f>
        <v>1.0242680000000001E-2</v>
      </c>
      <c r="G7" t="s">
        <v>66</v>
      </c>
    </row>
    <row r="10" spans="2:9" x14ac:dyDescent="0.2">
      <c r="B10" s="21" t="s">
        <v>48</v>
      </c>
      <c r="C10" s="21" t="s">
        <v>51</v>
      </c>
      <c r="D10" s="21" t="s">
        <v>52</v>
      </c>
      <c r="E10" s="21" t="s">
        <v>53</v>
      </c>
    </row>
    <row r="11" spans="2:9" x14ac:dyDescent="0.2">
      <c r="B11" s="23" t="s">
        <v>49</v>
      </c>
      <c r="C11" t="s">
        <v>60</v>
      </c>
      <c r="D11" t="s">
        <v>30</v>
      </c>
      <c r="E11">
        <v>1E-3</v>
      </c>
    </row>
    <row r="12" spans="2:9" x14ac:dyDescent="0.2">
      <c r="B12" s="23"/>
      <c r="C12" t="s">
        <v>59</v>
      </c>
      <c r="D12" t="s">
        <v>30</v>
      </c>
      <c r="E12">
        <v>9.9999999999999995E-7</v>
      </c>
    </row>
    <row r="13" spans="2:9" x14ac:dyDescent="0.2">
      <c r="B13" s="23"/>
      <c r="C13" t="s">
        <v>62</v>
      </c>
      <c r="D13" t="s">
        <v>30</v>
      </c>
      <c r="E13">
        <v>4.5359236999999999E-4</v>
      </c>
    </row>
    <row r="14" spans="2:9" x14ac:dyDescent="0.2">
      <c r="B14" s="23" t="s">
        <v>50</v>
      </c>
      <c r="C14" t="s">
        <v>63</v>
      </c>
      <c r="D14" t="s">
        <v>11</v>
      </c>
      <c r="E14">
        <v>1000</v>
      </c>
    </row>
    <row r="15" spans="2:9" x14ac:dyDescent="0.2">
      <c r="B15" s="23"/>
      <c r="C15" t="s">
        <v>61</v>
      </c>
      <c r="D15" t="s">
        <v>64</v>
      </c>
      <c r="E15">
        <v>1.026E-2</v>
      </c>
      <c r="F15" s="16"/>
    </row>
    <row r="18" spans="2:9" x14ac:dyDescent="0.2">
      <c r="B18" s="21" t="s">
        <v>54</v>
      </c>
      <c r="C18" s="21" t="s">
        <v>55</v>
      </c>
    </row>
    <row r="19" spans="2:9" x14ac:dyDescent="0.2">
      <c r="B19" t="s">
        <v>56</v>
      </c>
      <c r="C19">
        <v>1</v>
      </c>
    </row>
    <row r="20" spans="2:9" x14ac:dyDescent="0.2">
      <c r="B20" t="s">
        <v>57</v>
      </c>
      <c r="C20">
        <v>28</v>
      </c>
    </row>
    <row r="21" spans="2:9" x14ac:dyDescent="0.2">
      <c r="B21" t="s">
        <v>58</v>
      </c>
      <c r="C21">
        <v>265</v>
      </c>
    </row>
    <row r="22" spans="2:9" x14ac:dyDescent="0.2">
      <c r="I22" s="36" t="s">
        <v>69</v>
      </c>
    </row>
    <row r="23" spans="2:9" x14ac:dyDescent="0.2">
      <c r="I23" s="24" t="s">
        <v>93</v>
      </c>
    </row>
    <row r="24" spans="2:9" x14ac:dyDescent="0.2">
      <c r="B24" s="21" t="s">
        <v>79</v>
      </c>
      <c r="C24" s="21" t="s">
        <v>51</v>
      </c>
      <c r="D24" s="21" t="s">
        <v>52</v>
      </c>
      <c r="E24" s="21" t="s">
        <v>53</v>
      </c>
      <c r="F24" s="21" t="s">
        <v>89</v>
      </c>
    </row>
    <row r="25" spans="2:9" x14ac:dyDescent="0.2">
      <c r="B25" t="s">
        <v>82</v>
      </c>
      <c r="C25" t="s">
        <v>83</v>
      </c>
      <c r="D25" t="s">
        <v>84</v>
      </c>
      <c r="E25">
        <v>1.4999999999999999E-2</v>
      </c>
      <c r="F25" t="s">
        <v>85</v>
      </c>
    </row>
    <row r="26" spans="2:9" x14ac:dyDescent="0.2">
      <c r="B26" t="s">
        <v>86</v>
      </c>
      <c r="C26" t="s">
        <v>84</v>
      </c>
      <c r="D26" t="s">
        <v>80</v>
      </c>
      <c r="E26">
        <v>1260</v>
      </c>
      <c r="F26" t="s">
        <v>94</v>
      </c>
    </row>
    <row r="27" spans="2:9" x14ac:dyDescent="0.2">
      <c r="B27" t="s">
        <v>87</v>
      </c>
      <c r="C27" t="s">
        <v>81</v>
      </c>
      <c r="D27" t="s">
        <v>80</v>
      </c>
      <c r="E27">
        <f xml:space="preserve"> SizePerFt*EnergyPerkW</f>
        <v>18.899999999999999</v>
      </c>
      <c r="F27" t="s">
        <v>88</v>
      </c>
    </row>
    <row r="28" spans="2:9" ht="17" x14ac:dyDescent="0.25">
      <c r="B28" s="31"/>
    </row>
    <row r="30" spans="2:9" x14ac:dyDescent="0.2">
      <c r="B30" s="21" t="s">
        <v>43</v>
      </c>
      <c r="C30" s="39" t="s">
        <v>100</v>
      </c>
      <c r="D30" s="21" t="s">
        <v>42</v>
      </c>
    </row>
    <row r="31" spans="2:9" x14ac:dyDescent="0.2">
      <c r="B31" t="s">
        <v>0</v>
      </c>
      <c r="C31" s="26">
        <v>0.14000000000000001</v>
      </c>
      <c r="D31" t="s">
        <v>11</v>
      </c>
    </row>
    <row r="32" spans="2:9" x14ac:dyDescent="0.2">
      <c r="B32" t="s">
        <v>1</v>
      </c>
      <c r="C32" s="26">
        <v>6.24</v>
      </c>
      <c r="D32" t="s">
        <v>101</v>
      </c>
    </row>
    <row r="33" spans="2:4" x14ac:dyDescent="0.2">
      <c r="B33" t="s">
        <v>2</v>
      </c>
      <c r="C33" s="26">
        <v>4.13</v>
      </c>
      <c r="D33" t="s">
        <v>101</v>
      </c>
    </row>
    <row r="34" spans="2:4" x14ac:dyDescent="0.2">
      <c r="B34" t="s">
        <v>4</v>
      </c>
      <c r="C34" s="26">
        <v>1.2</v>
      </c>
      <c r="D34" t="s">
        <v>102</v>
      </c>
    </row>
    <row r="35" spans="2:4" x14ac:dyDescent="0.2">
      <c r="B35" t="s">
        <v>20</v>
      </c>
      <c r="C35" s="26">
        <v>4.8600000000000003</v>
      </c>
      <c r="D35" t="s">
        <v>101</v>
      </c>
    </row>
  </sheetData>
  <mergeCells count="2">
    <mergeCell ref="B11:B13"/>
    <mergeCell ref="B14:B15"/>
  </mergeCells>
  <hyperlinks>
    <hyperlink ref="I2" r:id="rId1" xr:uid="{5E730995-8D08-214D-A6F0-70A651FAD9D4}"/>
    <hyperlink ref="I23" r:id="rId2" xr:uid="{A513BFE7-FCA2-3F4F-910E-9BEF0AEB3C02}"/>
  </hyperlinks>
  <pageMargins left="0.7" right="0.7" top="0.75" bottom="0.75" header="0.3" footer="0.3"/>
  <ignoredErrors>
    <ignoredError sqref="C6:E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8035F9-05A5-7C4B-986E-EECCC968E0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22</vt:i4>
      </vt:variant>
    </vt:vector>
  </HeadingPairs>
  <TitlesOfParts>
    <vt:vector size="36" baseType="lpstr">
      <vt:lpstr>Emissions Calculator</vt:lpstr>
      <vt:lpstr>EEAOP</vt:lpstr>
      <vt:lpstr>MEA SEE</vt:lpstr>
      <vt:lpstr>Audit Calculator</vt:lpstr>
      <vt:lpstr>Append</vt:lpstr>
      <vt:lpstr>County Dashboard</vt:lpstr>
      <vt:lpstr>Audit_Reports</vt:lpstr>
      <vt:lpstr>MEA_SEE</vt:lpstr>
      <vt:lpstr>EEAOP1</vt:lpstr>
      <vt:lpstr>Program Dashboard</vt:lpstr>
      <vt:lpstr>Project Dashboard</vt:lpstr>
      <vt:lpstr>Client Dashboard</vt:lpstr>
      <vt:lpstr>Visualization Notes</vt:lpstr>
      <vt:lpstr>References</vt:lpstr>
      <vt:lpstr>CH4_GWP_Value</vt:lpstr>
      <vt:lpstr>CO2_GWP_Value</vt:lpstr>
      <vt:lpstr>Diesel_CO2e_Factor</vt:lpstr>
      <vt:lpstr>DieselUnitCost</vt:lpstr>
      <vt:lpstr>Electricity_CO2e_Factor</vt:lpstr>
      <vt:lpstr>ElectricityUnitCost</vt:lpstr>
      <vt:lpstr>EnergyPerFt</vt:lpstr>
      <vt:lpstr>EnergyPerkW</vt:lpstr>
      <vt:lpstr>g_to_MT</vt:lpstr>
      <vt:lpstr>kg_to_MT</vt:lpstr>
      <vt:lpstr>lb_to_MT</vt:lpstr>
      <vt:lpstr>lbs_to_MT</vt:lpstr>
      <vt:lpstr>MWh_to_kWh</vt:lpstr>
      <vt:lpstr>N2O_GWP_Value</vt:lpstr>
      <vt:lpstr>Natural_Gas_CO2e_Factor</vt:lpstr>
      <vt:lpstr>Natural_GasUnitCost</vt:lpstr>
      <vt:lpstr>Oil_CO2e_Factor</vt:lpstr>
      <vt:lpstr>OilUnitCost</vt:lpstr>
      <vt:lpstr>Propane_CO2e_Factor</vt:lpstr>
      <vt:lpstr>PropaneUnitCost</vt:lpstr>
      <vt:lpstr>scf_to_therm</vt:lpstr>
      <vt:lpstr>SizePerFt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Henry Feldmann</dc:creator>
  <cp:lastModifiedBy>Spencer Henry Feldmann</cp:lastModifiedBy>
  <dcterms:created xsi:type="dcterms:W3CDTF">2026-02-09T19:15:09Z</dcterms:created>
  <dcterms:modified xsi:type="dcterms:W3CDTF">2026-04-03T17:22:48Z</dcterms:modified>
</cp:coreProperties>
</file>